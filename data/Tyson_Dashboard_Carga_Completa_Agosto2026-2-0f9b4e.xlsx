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CONFIG" sheetId="1" r:id="rId5"/>
    <sheet state="visible" name="_MARCAS" sheetId="2" r:id="rId6"/>
    <sheet state="visible" name="Facebook" sheetId="3" r:id="rId7"/>
    <sheet state="visible" name="Instagram" sheetId="4" r:id="rId8"/>
    <sheet state="visible" name="TikTok" sheetId="5" r:id="rId9"/>
    <sheet state="visible" name="GoogleAds" sheetId="6" r:id="rId10"/>
    <sheet state="visible" name="Hallazgos" sheetId="7" r:id="rId11"/>
    <sheet state="visible" name="Campañas" sheetId="8" r:id="rId12"/>
    <sheet state="visible" name="Sentiment" sheetId="9" r:id="rId13"/>
    <sheet state="visible" name="Competencia" sheetId="10" r:id="rId14"/>
    <sheet state="visible" name="TopPosts" sheetId="11" r:id="rId15"/>
    <sheet state="visible" name="Proyecciones" sheetId="12" r:id="rId16"/>
  </sheets>
  <definedNames/>
  <calcPr/>
</workbook>
</file>

<file path=xl/sharedStrings.xml><?xml version="1.0" encoding="utf-8"?>
<sst xmlns="http://schemas.openxmlformats.org/spreadsheetml/2006/main" count="804" uniqueCount="139">
  <si>
    <t>marca</t>
  </si>
  <si>
    <t>marca_id</t>
  </si>
  <si>
    <t>campo</t>
  </si>
  <si>
    <t>mes</t>
  </si>
  <si>
    <t>seguidores</t>
  </si>
  <si>
    <t>alcance</t>
  </si>
  <si>
    <t>impresiones</t>
  </si>
  <si>
    <t>nombre</t>
  </si>
  <si>
    <t>interacciones</t>
  </si>
  <si>
    <t>engagement_rate</t>
  </si>
  <si>
    <t>logo_url</t>
  </si>
  <si>
    <t>valor</t>
  </si>
  <si>
    <t>nuevos_seguidores</t>
  </si>
  <si>
    <t>color_primario</t>
  </si>
  <si>
    <t>publicaciones</t>
  </si>
  <si>
    <t>inversion</t>
  </si>
  <si>
    <t>nombre_cuenta</t>
  </si>
  <si>
    <t>tyson</t>
  </si>
  <si>
    <t>Tyson Foods México</t>
  </si>
  <si>
    <t>2026-01</t>
  </si>
  <si>
    <t>#D2232A</t>
  </si>
  <si>
    <t>periodo_inicio</t>
  </si>
  <si>
    <t>2025-10-01</t>
  </si>
  <si>
    <t>periodo_fin</t>
  </si>
  <si>
    <t>2026-08-31</t>
  </si>
  <si>
    <t>2026-02</t>
  </si>
  <si>
    <t>2026-03</t>
  </si>
  <si>
    <t>2026-04</t>
  </si>
  <si>
    <t>2026-05</t>
  </si>
  <si>
    <t>2026-08</t>
  </si>
  <si>
    <t>2025-10</t>
  </si>
  <si>
    <t>2025-12</t>
  </si>
  <si>
    <t>views</t>
  </si>
  <si>
    <t>tipo_red</t>
  </si>
  <si>
    <t>impresiones_visibles</t>
  </si>
  <si>
    <t>clics</t>
  </si>
  <si>
    <t>ctr</t>
  </si>
  <si>
    <t>visualizaciones</t>
  </si>
  <si>
    <t>2026-06</t>
  </si>
  <si>
    <t>Video</t>
  </si>
  <si>
    <t>seccion</t>
  </si>
  <si>
    <t>tipo</t>
  </si>
  <si>
    <t>titulo</t>
  </si>
  <si>
    <t>descripcion</t>
  </si>
  <si>
    <t>prioridad</t>
  </si>
  <si>
    <t>facebook</t>
  </si>
  <si>
    <t>hallazgo</t>
  </si>
  <si>
    <t>CPR $0.62 muy por debajo de industria</t>
  </si>
  <si>
    <t>Segmento 25-34 concentró 72% de resultados, Reels 61% interacciones</t>
  </si>
  <si>
    <t>instagram</t>
  </si>
  <si>
    <t>Trend Punch 122 interacciones orgánicas</t>
  </si>
  <si>
    <t>Sin inversión, superó posts pautados. Requiere protocolo ágil 24-72h</t>
  </si>
  <si>
    <t>Campaña Interacción 1,392 resultados CPR $0.94</t>
  </si>
  <si>
    <t>Eficiencia por debajo de benchmark, alcance +109%</t>
  </si>
  <si>
    <t>Alcance 560,521 CPM $5.24</t>
  </si>
  <si>
    <t>Crecimiento +3.29% fans</t>
  </si>
  <si>
    <t>mundialmente_rico</t>
  </si>
  <si>
    <t>Mundialmente Rico 10M alcance 807K interacciones</t>
  </si>
  <si>
    <t>Mayor inversión del año, 2.5x más alcance que Alitas, 5x más interacciones</t>
  </si>
  <si>
    <t>fecha</t>
  </si>
  <si>
    <t>plataforma</t>
  </si>
  <si>
    <t>tipo_campana</t>
  </si>
  <si>
    <t>nombre_campana</t>
  </si>
  <si>
    <t>objetivo_detectado</t>
  </si>
  <si>
    <t>resultado</t>
  </si>
  <si>
    <t>CPR</t>
  </si>
  <si>
    <t>Spooky Nuggers</t>
  </si>
  <si>
    <t>Tyson - FB - Interacción - Spooky Nuggets - MTY - Septiembre / Octubre 2025</t>
  </si>
  <si>
    <t>Interacción</t>
  </si>
  <si>
    <t>Tyson - FB - Interacción - Spooky Nuggets - GDL - Septiembre / Octubre 2025</t>
  </si>
  <si>
    <t>Tyson - IG - Alcance - Spooky Nuggets - MTY - Septiembre / Octubre 2025</t>
  </si>
  <si>
    <t>Alcance</t>
  </si>
  <si>
    <t>Tyson - IG - Alcance - Spooky Nuggets - CDMX - Septiembre / Octubre 2025</t>
  </si>
  <si>
    <t>Tyson - FB - Interacción - Spooky Nuggets - CDMX - Septiembre / Octubre 2025</t>
  </si>
  <si>
    <t>Tyson - IG - Alcance - Spooky Nuggets - GDL - Septiembre / Octubre 2025</t>
  </si>
  <si>
    <t>Tyson - IG - Alcance - Spooky Nuggets - Nacional - Septiembre / Octubre 2025 - Copia</t>
  </si>
  <si>
    <t>Tyson - FB - Interacción - Spooky Nuggets - Nacional - Septiembre / Octubre 2025</t>
  </si>
  <si>
    <t>positivo_pct</t>
  </si>
  <si>
    <t>neutro_pct</t>
  </si>
  <si>
    <t>negativo_pct</t>
  </si>
  <si>
    <t>total_comentarios</t>
  </si>
  <si>
    <t>observaciones</t>
  </si>
  <si>
    <t>100% positivo, volumen reducido, trend Punch generó 122 interacciones orgánicas</t>
  </si>
  <si>
    <t>Sentiment positivo, oportunidad en engagement con Mundial</t>
  </si>
  <si>
    <t>Mundialmente Rico generó conversación positiva, 98% vistas en contexto futbol</t>
  </si>
  <si>
    <t>competidor</t>
  </si>
  <si>
    <t>red</t>
  </si>
  <si>
    <t>posts</t>
  </si>
  <si>
    <t>engagement_pct</t>
  </si>
  <si>
    <t>crecimiento_pct</t>
  </si>
  <si>
    <t>observacion</t>
  </si>
  <si>
    <t>Tyson</t>
  </si>
  <si>
    <t>Pilgrims</t>
  </si>
  <si>
    <t>Bachoco</t>
  </si>
  <si>
    <t>Tyson México</t>
  </si>
  <si>
    <t>Pilgrim´s México</t>
  </si>
  <si>
    <t>Hard Sell</t>
  </si>
  <si>
    <t>tipo_top</t>
  </si>
  <si>
    <t>Tyson - Interacción - Hard Sell - Dic 2025</t>
  </si>
  <si>
    <t>embed_url</t>
  </si>
  <si>
    <t>imagen_url</t>
  </si>
  <si>
    <t>Tyson - Instagram - Alcance - Hard Sell - Diciembre 2025 - Copia</t>
  </si>
  <si>
    <t>Tyson - Facebook  Alcance - Hard Sell - Diciembre 2025</t>
  </si>
  <si>
    <t>AON</t>
  </si>
  <si>
    <t>Tyson - Interacción - AON - Dic 2025</t>
  </si>
  <si>
    <t>Tyson - Alcance - AON - Diciembre - 2025</t>
  </si>
  <si>
    <t>NFL</t>
  </si>
  <si>
    <t>Tyson - IG - Alcance - NFL - Enero 2026</t>
  </si>
  <si>
    <t>Tyson - FB - Interacción - NFL - Enero 2026</t>
  </si>
  <si>
    <t>Facebook - Interacción - AON Febrero 2026</t>
  </si>
  <si>
    <t>Instagram - Alcance - AON - Febrero 2026</t>
  </si>
  <si>
    <t>Facebook - Interacción - AON - Marzo - 2026</t>
  </si>
  <si>
    <t>Instagram - Alcance - AON - Marzo - 2026</t>
  </si>
  <si>
    <t>Instagram - Alcance - AON - Abril 2026</t>
  </si>
  <si>
    <t>Facebook - Interacción - AON - Abril - 2026</t>
  </si>
  <si>
    <t>Mundialmente Rico</t>
  </si>
  <si>
    <t>Tyson - Instagram - Alcance - Mundialmente Rico - 2026</t>
  </si>
  <si>
    <t>Tyson - FB - Interacción - Mundialmente Rico - May/Jul - 2026</t>
  </si>
  <si>
    <t>Nuggets</t>
  </si>
  <si>
    <t>Tyson - FB - Interacción - Nuggets  - Junio - 2026</t>
  </si>
  <si>
    <t>tipo_proyeccion</t>
  </si>
  <si>
    <t>objetivo</t>
  </si>
  <si>
    <t>metrica</t>
  </si>
  <si>
    <t>fecha_inicio</t>
  </si>
  <si>
    <t>fecha_fin</t>
  </si>
  <si>
    <t>proyeccion</t>
  </si>
  <si>
    <t>Tyson - FB - Interacción - AON - Agosto 2026</t>
  </si>
  <si>
    <t>presupuesto</t>
  </si>
  <si>
    <t>cpr_meta</t>
  </si>
  <si>
    <t>Tyson - IG - Alcance - AON - Agosto 2026</t>
  </si>
  <si>
    <t>Mensual</t>
  </si>
  <si>
    <t>Facebook</t>
  </si>
  <si>
    <t>Instagram</t>
  </si>
  <si>
    <t>TikTok</t>
  </si>
  <si>
    <t>Views 6 secs</t>
  </si>
  <si>
    <t>Campaña</t>
  </si>
  <si>
    <t>Mundial</t>
  </si>
  <si>
    <t>Youtube</t>
  </si>
  <si>
    <t>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</si>
</sst>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"/>
    <numFmt numFmtId="165" formatCode="dd&quot;-&quot;mm&quot;-&quot;yyyy"/>
    <numFmt numFmtId="166" formatCode="yyyy-mm"/>
    <numFmt numFmtId="167" formatCode="dd-mm-yyyy"/>
  </numFmts>
  <fonts count="4">
    <font>
      <sz val="11.0"/>
      <color theme="1"/>
      <name val="Calibri"/>
      <scheme val="minor"/>
    </font>
    <font>
      <b/>
      <sz val="10.0"/>
      <color rgb="FFFFFFFF"/>
      <name val="Calibri"/>
    </font>
    <font>
      <color theme="1"/>
      <name val="Calibri"/>
      <scheme val="minor"/>
    </font>
    <font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0" fontId="3" numFmtId="166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1" xfId="0" applyAlignment="1" applyBorder="1" applyFont="1" applyNumberFormat="1">
      <alignment horizontal="right" readingOrder="0"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1" fillId="0" fontId="3" numFmtId="167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26" width="8.71"/>
  </cols>
  <sheetData>
    <row r="1">
      <c r="A1" s="1" t="s">
        <v>2</v>
      </c>
      <c r="B1" s="1" t="s">
        <v>11</v>
      </c>
    </row>
    <row r="2">
      <c r="A2" s="2" t="s">
        <v>16</v>
      </c>
      <c r="B2" s="2" t="s">
        <v>18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6.0"/>
    <col customWidth="1" min="5" max="26" width="8.71"/>
  </cols>
  <sheetData>
    <row r="1">
      <c r="A1" s="1" t="s">
        <v>1</v>
      </c>
      <c r="B1" s="1" t="s">
        <v>7</v>
      </c>
      <c r="C1" s="1" t="s">
        <v>10</v>
      </c>
      <c r="D1" s="1" t="s">
        <v>13</v>
      </c>
    </row>
    <row r="2">
      <c r="A2" s="2" t="s">
        <v>17</v>
      </c>
      <c r="B2" s="2" t="s">
        <v>18</v>
      </c>
      <c r="D2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3.0"/>
    <col customWidth="1" min="6" max="6" width="15.0"/>
    <col customWidth="1" min="7" max="7" width="17.0"/>
    <col customWidth="1" min="8" max="8" width="19.0"/>
    <col customWidth="1" min="9" max="9" width="15.0"/>
    <col customWidth="1" min="10" max="10" width="12.0"/>
    <col customWidth="1" min="11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12</v>
      </c>
      <c r="I1" s="1" t="s">
        <v>14</v>
      </c>
      <c r="J1" s="1" t="s">
        <v>15</v>
      </c>
    </row>
    <row r="2">
      <c r="A2" s="2" t="s">
        <v>17</v>
      </c>
      <c r="B2" s="2" t="s">
        <v>19</v>
      </c>
      <c r="C2" s="3">
        <v>8104.0</v>
      </c>
      <c r="D2" s="2">
        <v>368000.0</v>
      </c>
      <c r="F2" s="2">
        <v>14000.0</v>
      </c>
      <c r="G2" s="4">
        <v>0.1534</v>
      </c>
      <c r="H2" s="3">
        <v>12.0</v>
      </c>
      <c r="I2" s="3">
        <v>7.0</v>
      </c>
      <c r="J2" s="2">
        <v>22325.0</v>
      </c>
    </row>
    <row r="3">
      <c r="A3" s="2" t="s">
        <v>17</v>
      </c>
      <c r="B3" s="2" t="s">
        <v>25</v>
      </c>
      <c r="C3" s="3">
        <v>8301.0</v>
      </c>
      <c r="D3" s="2">
        <v>546000.0</v>
      </c>
      <c r="F3" s="2">
        <v>21000.0</v>
      </c>
      <c r="G3" s="4">
        <v>0.2525</v>
      </c>
      <c r="H3" s="2">
        <v>197.0</v>
      </c>
      <c r="I3" s="3">
        <v>5.0</v>
      </c>
      <c r="J3" s="2">
        <v>799.94</v>
      </c>
    </row>
    <row r="4">
      <c r="A4" s="2" t="s">
        <v>17</v>
      </c>
      <c r="B4" s="2" t="s">
        <v>26</v>
      </c>
      <c r="C4" s="3">
        <v>8299.0</v>
      </c>
      <c r="D4" s="2">
        <v>40000.0</v>
      </c>
      <c r="F4" s="2">
        <v>1000.0</v>
      </c>
      <c r="G4" s="4">
        <v>0.102</v>
      </c>
      <c r="H4" s="2">
        <v>-2.0</v>
      </c>
      <c r="I4" s="3">
        <v>5.0</v>
      </c>
      <c r="J4" s="2">
        <v>3177.0</v>
      </c>
    </row>
    <row r="5">
      <c r="A5" s="2" t="s">
        <v>17</v>
      </c>
      <c r="B5" s="2" t="s">
        <v>27</v>
      </c>
      <c r="C5" s="3">
        <v>8298.0</v>
      </c>
      <c r="D5" s="2">
        <v>69495.0</v>
      </c>
      <c r="F5" s="2">
        <v>1013.0</v>
      </c>
      <c r="G5" s="4">
        <v>0.0121</v>
      </c>
      <c r="H5" s="2">
        <v>-1.0</v>
      </c>
      <c r="I5" s="3">
        <v>6.0</v>
      </c>
      <c r="J5" s="2">
        <v>1302.92</v>
      </c>
    </row>
    <row r="6">
      <c r="A6" s="2" t="s">
        <v>17</v>
      </c>
      <c r="B6" s="2" t="s">
        <v>28</v>
      </c>
      <c r="C6" s="3">
        <v>8315.0</v>
      </c>
      <c r="D6" s="2">
        <v>45000.0</v>
      </c>
      <c r="F6" s="2">
        <v>20000.0</v>
      </c>
      <c r="G6" s="3">
        <v>18.56</v>
      </c>
      <c r="H6" s="2">
        <v>17.0</v>
      </c>
      <c r="I6" s="3">
        <v>6.0</v>
      </c>
      <c r="J6" s="2">
        <v>4235.0</v>
      </c>
    </row>
    <row r="7">
      <c r="A7" s="2" t="s">
        <v>17</v>
      </c>
      <c r="B7" s="2" t="s">
        <v>29</v>
      </c>
      <c r="C7" s="3">
        <v>8322.0</v>
      </c>
      <c r="D7" s="3">
        <v>386652.0</v>
      </c>
      <c r="F7" s="3">
        <v>2276.0</v>
      </c>
      <c r="G7" s="5">
        <f>F7/C7</f>
        <v>0.2734919491</v>
      </c>
      <c r="H7" s="2">
        <v>7.0</v>
      </c>
      <c r="I7" s="3">
        <v>4.0</v>
      </c>
      <c r="J7" s="3">
        <v>1799.37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3.0"/>
    <col customWidth="1" min="6" max="6" width="15.0"/>
    <col customWidth="1" min="7" max="7" width="17.0"/>
    <col customWidth="1" min="8" max="8" width="19.0"/>
    <col customWidth="1" min="9" max="9" width="15.0"/>
    <col customWidth="1" min="10" max="10" width="12.0"/>
    <col customWidth="1" min="11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12</v>
      </c>
      <c r="I1" s="1" t="s">
        <v>14</v>
      </c>
      <c r="J1" s="1" t="s">
        <v>15</v>
      </c>
    </row>
    <row r="2">
      <c r="A2" s="2" t="s">
        <v>17</v>
      </c>
      <c r="B2" s="2" t="s">
        <v>30</v>
      </c>
      <c r="D2" s="2">
        <v>1380000.0</v>
      </c>
      <c r="F2" s="2">
        <v>151000.0</v>
      </c>
      <c r="J2" s="2">
        <v>40417.0</v>
      </c>
    </row>
    <row r="3">
      <c r="A3" s="2" t="s">
        <v>17</v>
      </c>
      <c r="B3" s="2" t="s">
        <v>31</v>
      </c>
      <c r="D3" s="2">
        <v>478000.0</v>
      </c>
      <c r="F3" s="2">
        <v>6000.0</v>
      </c>
      <c r="J3" s="2">
        <v>18985.0</v>
      </c>
    </row>
    <row r="4">
      <c r="A4" s="2" t="s">
        <v>17</v>
      </c>
      <c r="B4" s="2" t="s">
        <v>19</v>
      </c>
      <c r="D4" s="2">
        <v>1480000.0</v>
      </c>
      <c r="F4" s="2">
        <v>19000.0</v>
      </c>
      <c r="J4" s="2">
        <v>22325.0</v>
      </c>
    </row>
    <row r="5">
      <c r="A5" s="2" t="s">
        <v>17</v>
      </c>
      <c r="B5" s="2" t="s">
        <v>25</v>
      </c>
      <c r="C5" s="2">
        <v>632.0</v>
      </c>
      <c r="D5" s="2">
        <v>1550000.0</v>
      </c>
      <c r="F5" s="2">
        <v>32000.0</v>
      </c>
      <c r="J5" s="2">
        <v>1550.0</v>
      </c>
    </row>
    <row r="6">
      <c r="A6" s="2" t="s">
        <v>17</v>
      </c>
      <c r="B6" s="2" t="s">
        <v>26</v>
      </c>
      <c r="D6" s="2">
        <v>359000.0</v>
      </c>
      <c r="F6" s="2">
        <v>966.0</v>
      </c>
      <c r="J6" s="2">
        <v>3177.0</v>
      </c>
    </row>
    <row r="7">
      <c r="A7" s="2" t="s">
        <v>17</v>
      </c>
      <c r="B7" s="2" t="s">
        <v>27</v>
      </c>
      <c r="C7" s="2">
        <v>661.0</v>
      </c>
      <c r="D7" s="2">
        <v>560521.0</v>
      </c>
      <c r="F7" s="2">
        <v>253.0</v>
      </c>
      <c r="J7" s="2">
        <v>2932.71</v>
      </c>
    </row>
    <row r="8">
      <c r="A8" s="2" t="s">
        <v>17</v>
      </c>
      <c r="B8" s="2" t="s">
        <v>28</v>
      </c>
      <c r="D8" s="2">
        <v>290000.0</v>
      </c>
      <c r="F8" s="2">
        <v>11000.0</v>
      </c>
      <c r="J8" s="2">
        <v>4235.0</v>
      </c>
    </row>
    <row r="9">
      <c r="A9" s="2" t="s">
        <v>17</v>
      </c>
      <c r="B9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5.0"/>
    <col customWidth="1" min="6" max="6" width="17.0"/>
    <col customWidth="1" min="7" max="7" width="12.0"/>
    <col customWidth="1" min="8" max="8" width="15.0"/>
    <col customWidth="1" min="9" max="26" width="8.71"/>
  </cols>
  <sheetData>
    <row r="1">
      <c r="A1" s="1" t="s">
        <v>0</v>
      </c>
      <c r="B1" s="1" t="s">
        <v>3</v>
      </c>
      <c r="C1" s="1" t="s">
        <v>4</v>
      </c>
      <c r="D1" s="1" t="s">
        <v>32</v>
      </c>
      <c r="E1" s="1" t="s">
        <v>8</v>
      </c>
      <c r="F1" s="1" t="s">
        <v>9</v>
      </c>
      <c r="G1" s="1" t="s">
        <v>15</v>
      </c>
      <c r="H1" s="1" t="s">
        <v>14</v>
      </c>
    </row>
    <row r="2">
      <c r="A2" s="2" t="s">
        <v>17</v>
      </c>
      <c r="B2" s="2" t="s">
        <v>30</v>
      </c>
      <c r="D2" s="2">
        <v>2000000.0</v>
      </c>
      <c r="E2" s="2">
        <v>10000.0</v>
      </c>
      <c r="G2" s="2">
        <v>28526.0</v>
      </c>
    </row>
    <row r="3">
      <c r="A3" s="2" t="s">
        <v>17</v>
      </c>
      <c r="B3" s="2" t="s">
        <v>31</v>
      </c>
    </row>
    <row r="4">
      <c r="A4" s="2" t="s">
        <v>17</v>
      </c>
      <c r="B4" s="2" t="s">
        <v>19</v>
      </c>
      <c r="D4" s="2">
        <v>637000.0</v>
      </c>
      <c r="E4" s="2">
        <v>2000.0</v>
      </c>
      <c r="G4" s="2">
        <v>4279.0</v>
      </c>
    </row>
    <row r="5">
      <c r="A5" s="2" t="s">
        <v>17</v>
      </c>
      <c r="B5" s="2" t="s">
        <v>25</v>
      </c>
      <c r="D5" s="2">
        <v>5100000.0</v>
      </c>
      <c r="E5" s="2">
        <v>15000.0</v>
      </c>
      <c r="G5" s="2">
        <v>45943.0</v>
      </c>
    </row>
    <row r="6">
      <c r="A6" s="2" t="s">
        <v>17</v>
      </c>
      <c r="B6" s="2" t="s">
        <v>26</v>
      </c>
    </row>
    <row r="7">
      <c r="A7" s="2" t="s">
        <v>17</v>
      </c>
      <c r="B7" s="2" t="s">
        <v>27</v>
      </c>
    </row>
    <row r="8">
      <c r="A8" s="2" t="s">
        <v>17</v>
      </c>
      <c r="B8" s="2" t="s">
        <v>28</v>
      </c>
      <c r="D8" s="2">
        <v>99000.0</v>
      </c>
      <c r="G8" s="2">
        <v>1881.0</v>
      </c>
    </row>
    <row r="9">
      <c r="A9" s="2" t="s">
        <v>17</v>
      </c>
      <c r="B9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3.0"/>
    <col customWidth="1" min="5" max="5" width="22.0"/>
    <col customWidth="1" min="6" max="8" width="12.0"/>
    <col customWidth="1" min="9" max="9" width="17.0"/>
    <col customWidth="1" min="10" max="10" width="12.0"/>
    <col customWidth="1" min="11" max="26" width="8.71"/>
  </cols>
  <sheetData>
    <row r="1">
      <c r="A1" s="1" t="s">
        <v>0</v>
      </c>
      <c r="B1" s="1" t="s">
        <v>3</v>
      </c>
      <c r="C1" s="1" t="s">
        <v>33</v>
      </c>
      <c r="D1" s="1" t="s">
        <v>6</v>
      </c>
      <c r="E1" s="1" t="s">
        <v>34</v>
      </c>
      <c r="F1" s="1" t="s">
        <v>35</v>
      </c>
      <c r="G1" s="1" t="s">
        <v>36</v>
      </c>
      <c r="H1" s="1" t="s">
        <v>32</v>
      </c>
      <c r="I1" s="1" t="s">
        <v>37</v>
      </c>
      <c r="J1" s="1" t="s">
        <v>15</v>
      </c>
    </row>
    <row r="2">
      <c r="A2" s="2" t="s">
        <v>17</v>
      </c>
      <c r="B2" s="2" t="s">
        <v>38</v>
      </c>
      <c r="C2" s="2" t="s">
        <v>39</v>
      </c>
      <c r="D2" s="2">
        <v>1111111.0</v>
      </c>
      <c r="H2" s="2">
        <v>2702304.0</v>
      </c>
      <c r="J2" s="2">
        <v>83979.6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2.0"/>
    <col customWidth="1" min="6" max="6" width="13.0"/>
    <col customWidth="1" min="7" max="7" width="12.0"/>
    <col customWidth="1" min="8" max="26" width="8.71"/>
  </cols>
  <sheetData>
    <row r="1">
      <c r="A1" s="1" t="s">
        <v>0</v>
      </c>
      <c r="B1" s="1" t="s">
        <v>3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>
      <c r="A2" s="2" t="s">
        <v>17</v>
      </c>
      <c r="B2" s="2" t="s">
        <v>25</v>
      </c>
      <c r="C2" s="2" t="s">
        <v>45</v>
      </c>
      <c r="D2" s="2" t="s">
        <v>46</v>
      </c>
      <c r="E2" s="2" t="s">
        <v>47</v>
      </c>
      <c r="F2" s="2" t="s">
        <v>48</v>
      </c>
      <c r="G2" s="2">
        <v>1.0</v>
      </c>
    </row>
    <row r="3">
      <c r="A3" s="2" t="s">
        <v>17</v>
      </c>
      <c r="B3" s="2" t="s">
        <v>25</v>
      </c>
      <c r="C3" s="2" t="s">
        <v>49</v>
      </c>
      <c r="D3" s="2" t="s">
        <v>46</v>
      </c>
      <c r="E3" s="2" t="s">
        <v>50</v>
      </c>
      <c r="F3" s="2" t="s">
        <v>51</v>
      </c>
      <c r="G3" s="2">
        <v>1.0</v>
      </c>
    </row>
    <row r="4">
      <c r="A4" s="2" t="s">
        <v>17</v>
      </c>
      <c r="B4" s="2" t="s">
        <v>27</v>
      </c>
      <c r="C4" s="2" t="s">
        <v>45</v>
      </c>
      <c r="D4" s="2" t="s">
        <v>46</v>
      </c>
      <c r="E4" s="2" t="s">
        <v>52</v>
      </c>
      <c r="F4" s="2" t="s">
        <v>53</v>
      </c>
      <c r="G4" s="2">
        <v>1.0</v>
      </c>
    </row>
    <row r="5">
      <c r="A5" s="2" t="s">
        <v>17</v>
      </c>
      <c r="B5" s="2" t="s">
        <v>27</v>
      </c>
      <c r="C5" s="2" t="s">
        <v>49</v>
      </c>
      <c r="D5" s="2" t="s">
        <v>46</v>
      </c>
      <c r="E5" s="2" t="s">
        <v>54</v>
      </c>
      <c r="F5" s="2" t="s">
        <v>55</v>
      </c>
      <c r="G5" s="2">
        <v>1.0</v>
      </c>
    </row>
    <row r="6">
      <c r="A6" s="2" t="s">
        <v>17</v>
      </c>
      <c r="B6" s="2" t="s">
        <v>38</v>
      </c>
      <c r="C6" s="2" t="s">
        <v>56</v>
      </c>
      <c r="D6" s="2" t="s">
        <v>46</v>
      </c>
      <c r="E6" s="2" t="s">
        <v>57</v>
      </c>
      <c r="F6" s="2" t="s">
        <v>58</v>
      </c>
      <c r="G6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30.57"/>
    <col customWidth="1" min="6" max="6" width="16.0"/>
    <col customWidth="1" min="7" max="7" width="20.0"/>
    <col customWidth="1" min="8" max="9" width="12.0"/>
    <col customWidth="1" min="10" max="10" width="13.0"/>
    <col customWidth="1" min="11" max="11" width="12.0"/>
    <col customWidth="1" min="12" max="26" width="8.71"/>
  </cols>
  <sheetData>
    <row r="1">
      <c r="A1" s="3" t="s">
        <v>0</v>
      </c>
      <c r="B1" s="3" t="s">
        <v>3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15</v>
      </c>
      <c r="J1" s="3" t="s">
        <v>6</v>
      </c>
      <c r="K1" s="3" t="s">
        <v>65</v>
      </c>
    </row>
    <row r="2">
      <c r="A2" s="3" t="s">
        <v>17</v>
      </c>
      <c r="B2" s="6">
        <v>45931.0</v>
      </c>
      <c r="C2" s="7">
        <v>45931.0</v>
      </c>
      <c r="D2" s="3" t="s">
        <v>45</v>
      </c>
      <c r="E2" s="3" t="s">
        <v>66</v>
      </c>
      <c r="F2" s="3" t="s">
        <v>67</v>
      </c>
      <c r="G2" s="3" t="s">
        <v>68</v>
      </c>
      <c r="H2" s="3">
        <v>159.0</v>
      </c>
      <c r="I2" s="3">
        <v>225.5</v>
      </c>
      <c r="J2" s="3">
        <v>14483.0</v>
      </c>
      <c r="K2" s="3">
        <v>1.41823899</v>
      </c>
    </row>
    <row r="3">
      <c r="A3" s="3" t="s">
        <v>17</v>
      </c>
      <c r="B3" s="6">
        <v>45931.0</v>
      </c>
      <c r="C3" s="7">
        <v>45931.0</v>
      </c>
      <c r="D3" s="3" t="s">
        <v>45</v>
      </c>
      <c r="E3" s="3" t="s">
        <v>66</v>
      </c>
      <c r="F3" s="3" t="s">
        <v>69</v>
      </c>
      <c r="G3" s="3" t="s">
        <v>68</v>
      </c>
      <c r="H3" s="3">
        <v>1088.0</v>
      </c>
      <c r="I3" s="3">
        <v>707.88</v>
      </c>
      <c r="J3" s="3">
        <v>87211.0</v>
      </c>
      <c r="K3" s="3">
        <v>0.650625</v>
      </c>
    </row>
    <row r="4">
      <c r="A4" s="3" t="s">
        <v>17</v>
      </c>
      <c r="B4" s="6">
        <v>45931.0</v>
      </c>
      <c r="C4" s="7">
        <v>45931.0</v>
      </c>
      <c r="D4" s="3" t="s">
        <v>49</v>
      </c>
      <c r="E4" s="3" t="s">
        <v>66</v>
      </c>
      <c r="F4" s="3" t="s">
        <v>70</v>
      </c>
      <c r="G4" s="3" t="s">
        <v>71</v>
      </c>
      <c r="H4" s="3">
        <v>68665.0</v>
      </c>
      <c r="I4" s="3">
        <v>505.71</v>
      </c>
      <c r="J4" s="3">
        <v>84790.0</v>
      </c>
      <c r="K4" s="3">
        <v>7.3648875</v>
      </c>
    </row>
    <row r="5">
      <c r="A5" s="3" t="s">
        <v>17</v>
      </c>
      <c r="B5" s="6">
        <v>45931.0</v>
      </c>
      <c r="C5" s="7">
        <v>45931.0</v>
      </c>
      <c r="D5" s="3" t="s">
        <v>49</v>
      </c>
      <c r="E5" s="3" t="s">
        <v>66</v>
      </c>
      <c r="F5" s="3" t="s">
        <v>72</v>
      </c>
      <c r="G5" s="3" t="s">
        <v>71</v>
      </c>
      <c r="H5" s="3">
        <v>242497.0</v>
      </c>
      <c r="I5" s="3">
        <v>1517.0</v>
      </c>
      <c r="J5" s="3">
        <v>293706.0</v>
      </c>
      <c r="K5" s="3">
        <v>6.25574749</v>
      </c>
    </row>
    <row r="6">
      <c r="A6" s="3" t="s">
        <v>17</v>
      </c>
      <c r="B6" s="6">
        <v>45931.0</v>
      </c>
      <c r="C6" s="7">
        <v>45931.0</v>
      </c>
      <c r="D6" s="3" t="s">
        <v>45</v>
      </c>
      <c r="E6" s="3" t="s">
        <v>66</v>
      </c>
      <c r="F6" s="3" t="s">
        <v>67</v>
      </c>
      <c r="G6" s="3" t="s">
        <v>68</v>
      </c>
      <c r="H6" s="3">
        <v>799.0</v>
      </c>
      <c r="I6" s="3">
        <v>1126.82</v>
      </c>
      <c r="J6" s="3">
        <v>126848.0</v>
      </c>
      <c r="K6" s="3">
        <v>1.41028786</v>
      </c>
    </row>
    <row r="7">
      <c r="A7" s="3" t="s">
        <v>17</v>
      </c>
      <c r="B7" s="6">
        <v>45931.0</v>
      </c>
      <c r="C7" s="7">
        <v>45931.0</v>
      </c>
      <c r="D7" s="3" t="s">
        <v>45</v>
      </c>
      <c r="E7" s="3" t="s">
        <v>66</v>
      </c>
      <c r="F7" s="3" t="s">
        <v>73</v>
      </c>
      <c r="G7" s="3" t="s">
        <v>68</v>
      </c>
      <c r="H7" s="3">
        <v>2884.0</v>
      </c>
      <c r="I7" s="3">
        <v>3380.57</v>
      </c>
      <c r="J7" s="3">
        <v>284905.0</v>
      </c>
      <c r="K7" s="3">
        <v>1.172181</v>
      </c>
    </row>
    <row r="8">
      <c r="A8" s="3" t="s">
        <v>17</v>
      </c>
      <c r="B8" s="6">
        <v>45931.0</v>
      </c>
      <c r="C8" s="7">
        <v>45931.0</v>
      </c>
      <c r="D8" s="3" t="s">
        <v>45</v>
      </c>
      <c r="E8" s="3" t="s">
        <v>66</v>
      </c>
      <c r="F8" s="3" t="s">
        <v>69</v>
      </c>
      <c r="G8" s="3" t="s">
        <v>68</v>
      </c>
      <c r="H8" s="3">
        <v>1456.0</v>
      </c>
      <c r="I8" s="3">
        <v>1127.0</v>
      </c>
      <c r="J8" s="3">
        <v>61759.0</v>
      </c>
      <c r="K8" s="3">
        <v>0.77403846</v>
      </c>
    </row>
    <row r="9">
      <c r="A9" s="3" t="s">
        <v>17</v>
      </c>
      <c r="B9" s="6">
        <v>45931.0</v>
      </c>
      <c r="C9" s="7">
        <v>45931.0</v>
      </c>
      <c r="D9" s="3" t="s">
        <v>45</v>
      </c>
      <c r="E9" s="3" t="s">
        <v>66</v>
      </c>
      <c r="F9" s="3" t="s">
        <v>73</v>
      </c>
      <c r="G9" s="3" t="s">
        <v>68</v>
      </c>
      <c r="H9" s="3">
        <v>3934.0</v>
      </c>
      <c r="I9" s="3">
        <v>2130.82</v>
      </c>
      <c r="J9" s="3">
        <v>277719.0</v>
      </c>
      <c r="K9" s="3">
        <v>0.54164209</v>
      </c>
    </row>
    <row r="10">
      <c r="A10" s="3" t="s">
        <v>17</v>
      </c>
      <c r="B10" s="6">
        <v>45931.0</v>
      </c>
      <c r="C10" s="7">
        <v>45931.0</v>
      </c>
      <c r="D10" s="3" t="s">
        <v>49</v>
      </c>
      <c r="E10" s="3" t="s">
        <v>66</v>
      </c>
      <c r="F10" s="3" t="s">
        <v>74</v>
      </c>
      <c r="G10" s="3" t="s">
        <v>71</v>
      </c>
      <c r="H10" s="3">
        <v>43344.0</v>
      </c>
      <c r="I10" s="3">
        <v>241.06</v>
      </c>
      <c r="J10" s="3">
        <v>47492.0</v>
      </c>
      <c r="K10" s="3">
        <v>5.56155408</v>
      </c>
    </row>
    <row r="11">
      <c r="A11" s="3" t="s">
        <v>17</v>
      </c>
      <c r="B11" s="6">
        <v>45931.0</v>
      </c>
      <c r="C11" s="7">
        <v>45931.0</v>
      </c>
      <c r="D11" s="3" t="s">
        <v>49</v>
      </c>
      <c r="E11" s="3" t="s">
        <v>66</v>
      </c>
      <c r="F11" s="3" t="s">
        <v>70</v>
      </c>
      <c r="G11" s="3" t="s">
        <v>71</v>
      </c>
      <c r="H11" s="3">
        <v>37421.0</v>
      </c>
      <c r="I11" s="3">
        <v>242.95</v>
      </c>
      <c r="J11" s="3">
        <v>43750.0</v>
      </c>
      <c r="K11" s="3">
        <v>6.49234387</v>
      </c>
    </row>
    <row r="12">
      <c r="A12" s="3" t="s">
        <v>17</v>
      </c>
      <c r="B12" s="6">
        <v>45931.0</v>
      </c>
      <c r="C12" s="7">
        <v>45931.0</v>
      </c>
      <c r="D12" s="3" t="s">
        <v>45</v>
      </c>
      <c r="E12" s="3" t="s">
        <v>66</v>
      </c>
      <c r="F12" s="3" t="s">
        <v>67</v>
      </c>
      <c r="G12" s="3" t="s">
        <v>68</v>
      </c>
      <c r="H12" s="3">
        <v>323.0</v>
      </c>
      <c r="I12" s="3">
        <v>225.17</v>
      </c>
      <c r="J12" s="3">
        <v>27531.0</v>
      </c>
      <c r="K12" s="3">
        <v>0.69712074</v>
      </c>
    </row>
    <row r="13">
      <c r="A13" s="3" t="s">
        <v>17</v>
      </c>
      <c r="B13" s="6">
        <v>45931.0</v>
      </c>
      <c r="C13" s="7">
        <v>45931.0</v>
      </c>
      <c r="D13" s="3" t="s">
        <v>49</v>
      </c>
      <c r="E13" s="3" t="s">
        <v>66</v>
      </c>
      <c r="F13" s="3" t="s">
        <v>72</v>
      </c>
      <c r="G13" s="3" t="s">
        <v>71</v>
      </c>
      <c r="H13" s="3">
        <v>133272.0</v>
      </c>
      <c r="I13" s="3">
        <v>728.18</v>
      </c>
      <c r="J13" s="3">
        <v>144571.0</v>
      </c>
      <c r="K13" s="3">
        <v>5.46386338</v>
      </c>
    </row>
    <row r="14">
      <c r="A14" s="3" t="s">
        <v>17</v>
      </c>
      <c r="B14" s="6">
        <v>45931.0</v>
      </c>
      <c r="C14" s="7">
        <v>45931.0</v>
      </c>
      <c r="D14" s="3" t="s">
        <v>49</v>
      </c>
      <c r="E14" s="3" t="s">
        <v>66</v>
      </c>
      <c r="F14" s="3" t="s">
        <v>72</v>
      </c>
      <c r="G14" s="3" t="s">
        <v>71</v>
      </c>
      <c r="H14" s="3">
        <v>241458.0</v>
      </c>
      <c r="I14" s="3">
        <v>1517.65</v>
      </c>
      <c r="J14" s="3">
        <v>262586.0</v>
      </c>
      <c r="K14" s="3">
        <v>6.28535812</v>
      </c>
    </row>
    <row r="15">
      <c r="A15" s="3" t="s">
        <v>17</v>
      </c>
      <c r="B15" s="6">
        <v>45931.0</v>
      </c>
      <c r="C15" s="7">
        <v>45931.0</v>
      </c>
      <c r="D15" s="3" t="s">
        <v>49</v>
      </c>
      <c r="E15" s="3" t="s">
        <v>66</v>
      </c>
      <c r="F15" s="3" t="s">
        <v>70</v>
      </c>
      <c r="G15" s="3" t="s">
        <v>71</v>
      </c>
      <c r="H15" s="3">
        <v>37350.0</v>
      </c>
      <c r="I15" s="3">
        <v>224.82</v>
      </c>
      <c r="J15" s="3">
        <v>41082.0</v>
      </c>
      <c r="K15" s="3">
        <v>6.01927711</v>
      </c>
    </row>
    <row r="16">
      <c r="A16" s="3" t="s">
        <v>17</v>
      </c>
      <c r="B16" s="6">
        <v>45931.0</v>
      </c>
      <c r="C16" s="7">
        <v>45931.0</v>
      </c>
      <c r="D16" s="3" t="s">
        <v>49</v>
      </c>
      <c r="E16" s="3" t="s">
        <v>66</v>
      </c>
      <c r="F16" s="3" t="s">
        <v>74</v>
      </c>
      <c r="G16" s="3" t="s">
        <v>71</v>
      </c>
      <c r="H16" s="3">
        <v>40758.0</v>
      </c>
      <c r="I16" s="3">
        <v>222.19</v>
      </c>
      <c r="J16" s="3">
        <v>44093.0</v>
      </c>
      <c r="K16" s="3">
        <v>5.45144512</v>
      </c>
    </row>
    <row r="17">
      <c r="A17" s="3" t="s">
        <v>17</v>
      </c>
      <c r="B17" s="6">
        <v>45931.0</v>
      </c>
      <c r="C17" s="7">
        <v>45931.0</v>
      </c>
      <c r="D17" s="3" t="s">
        <v>49</v>
      </c>
      <c r="E17" s="3" t="s">
        <v>66</v>
      </c>
      <c r="F17" s="3" t="s">
        <v>72</v>
      </c>
      <c r="G17" s="3" t="s">
        <v>71</v>
      </c>
      <c r="H17" s="3">
        <v>129716.0</v>
      </c>
      <c r="I17" s="3">
        <v>673.41</v>
      </c>
      <c r="J17" s="3">
        <v>134477.0</v>
      </c>
      <c r="K17" s="3">
        <v>5.19141818</v>
      </c>
    </row>
    <row r="18">
      <c r="A18" s="3" t="s">
        <v>17</v>
      </c>
      <c r="B18" s="6">
        <v>45931.0</v>
      </c>
      <c r="C18" s="7">
        <v>45931.0</v>
      </c>
      <c r="D18" s="3" t="s">
        <v>45</v>
      </c>
      <c r="E18" s="3" t="s">
        <v>66</v>
      </c>
      <c r="F18" s="3" t="s">
        <v>69</v>
      </c>
      <c r="G18" s="3" t="s">
        <v>68</v>
      </c>
      <c r="H18" s="3">
        <v>201.0</v>
      </c>
      <c r="I18" s="3">
        <v>225.45</v>
      </c>
      <c r="J18" s="3">
        <v>13090.0</v>
      </c>
      <c r="K18" s="3">
        <v>1.12164179</v>
      </c>
    </row>
    <row r="19">
      <c r="A19" s="3" t="s">
        <v>17</v>
      </c>
      <c r="B19" s="6">
        <v>45931.0</v>
      </c>
      <c r="C19" s="7">
        <v>45931.0</v>
      </c>
      <c r="D19" s="3" t="s">
        <v>49</v>
      </c>
      <c r="E19" s="3" t="s">
        <v>66</v>
      </c>
      <c r="F19" s="3" t="s">
        <v>74</v>
      </c>
      <c r="G19" s="3" t="s">
        <v>71</v>
      </c>
      <c r="H19" s="3">
        <v>81382.0</v>
      </c>
      <c r="I19" s="3">
        <v>505.65</v>
      </c>
      <c r="J19" s="3">
        <v>95537.0</v>
      </c>
      <c r="K19" s="3">
        <v>6.21329041</v>
      </c>
    </row>
    <row r="20">
      <c r="A20" s="3" t="s">
        <v>17</v>
      </c>
      <c r="B20" s="6">
        <v>45931.0</v>
      </c>
      <c r="C20" s="7">
        <v>45931.0</v>
      </c>
      <c r="D20" s="3" t="s">
        <v>49</v>
      </c>
      <c r="E20" s="3" t="s">
        <v>66</v>
      </c>
      <c r="F20" s="3" t="s">
        <v>74</v>
      </c>
      <c r="G20" s="3" t="s">
        <v>71</v>
      </c>
      <c r="H20" s="3">
        <v>103074.0</v>
      </c>
      <c r="I20" s="3">
        <v>645.15</v>
      </c>
      <c r="J20" s="3">
        <v>106858.0</v>
      </c>
      <c r="K20" s="3">
        <v>6.25909541</v>
      </c>
    </row>
    <row r="21" ht="15.75" customHeight="1">
      <c r="A21" s="3" t="s">
        <v>17</v>
      </c>
      <c r="B21" s="6">
        <v>45931.0</v>
      </c>
      <c r="C21" s="7">
        <v>45931.0</v>
      </c>
      <c r="D21" s="3" t="s">
        <v>49</v>
      </c>
      <c r="E21" s="3" t="s">
        <v>66</v>
      </c>
      <c r="F21" s="3" t="s">
        <v>74</v>
      </c>
      <c r="G21" s="3" t="s">
        <v>71</v>
      </c>
      <c r="H21" s="3">
        <v>78775.0</v>
      </c>
      <c r="I21" s="3">
        <v>505.98</v>
      </c>
      <c r="J21" s="3">
        <v>85821.0</v>
      </c>
      <c r="K21" s="3">
        <v>6.42310378</v>
      </c>
    </row>
    <row r="22" ht="15.75" customHeight="1">
      <c r="A22" s="3" t="s">
        <v>17</v>
      </c>
      <c r="B22" s="6">
        <v>45931.0</v>
      </c>
      <c r="C22" s="7">
        <v>45931.0</v>
      </c>
      <c r="D22" s="3" t="s">
        <v>49</v>
      </c>
      <c r="E22" s="3" t="s">
        <v>66</v>
      </c>
      <c r="F22" s="3" t="s">
        <v>72</v>
      </c>
      <c r="G22" s="3" t="s">
        <v>71</v>
      </c>
      <c r="H22" s="3">
        <v>184149.0</v>
      </c>
      <c r="I22" s="3">
        <v>1120.3</v>
      </c>
      <c r="J22" s="3">
        <v>185319.0</v>
      </c>
      <c r="K22" s="3">
        <v>6.08366051</v>
      </c>
    </row>
    <row r="23" ht="15.75" customHeight="1">
      <c r="A23" s="3" t="s">
        <v>17</v>
      </c>
      <c r="B23" s="6">
        <v>45931.0</v>
      </c>
      <c r="C23" s="7">
        <v>45931.0</v>
      </c>
      <c r="D23" s="3" t="s">
        <v>49</v>
      </c>
      <c r="E23" s="3" t="s">
        <v>66</v>
      </c>
      <c r="F23" s="3" t="s">
        <v>75</v>
      </c>
      <c r="G23" s="3" t="s">
        <v>71</v>
      </c>
      <c r="H23" s="3">
        <v>664197.0</v>
      </c>
      <c r="I23" s="3">
        <v>4746.72</v>
      </c>
      <c r="J23" s="3">
        <v>670579.0</v>
      </c>
      <c r="K23" s="3">
        <v>7.14655441</v>
      </c>
    </row>
    <row r="24" ht="15.75" customHeight="1">
      <c r="A24" s="3" t="s">
        <v>17</v>
      </c>
      <c r="B24" s="6">
        <v>45931.0</v>
      </c>
      <c r="C24" s="7">
        <v>45931.0</v>
      </c>
      <c r="D24" s="3" t="s">
        <v>45</v>
      </c>
      <c r="E24" s="3" t="s">
        <v>66</v>
      </c>
      <c r="F24" s="3" t="s">
        <v>76</v>
      </c>
      <c r="G24" s="3" t="s">
        <v>68</v>
      </c>
      <c r="H24" s="3">
        <v>304176.0</v>
      </c>
      <c r="I24" s="3">
        <v>4571.28</v>
      </c>
      <c r="J24" s="3">
        <v>551709.0</v>
      </c>
      <c r="K24" s="3">
        <v>0.0150284</v>
      </c>
    </row>
    <row r="25" ht="15.75" customHeight="1">
      <c r="A25" s="3" t="s">
        <v>17</v>
      </c>
      <c r="B25" s="6">
        <v>45931.0</v>
      </c>
      <c r="C25" s="7">
        <v>45931.0</v>
      </c>
      <c r="D25" s="3" t="s">
        <v>45</v>
      </c>
      <c r="E25" s="3" t="s">
        <v>66</v>
      </c>
      <c r="F25" s="3" t="s">
        <v>67</v>
      </c>
      <c r="G25" s="3" t="s">
        <v>68</v>
      </c>
      <c r="H25" s="3">
        <v>242.0</v>
      </c>
      <c r="I25" s="3">
        <v>211.37</v>
      </c>
      <c r="J25" s="3">
        <v>28422.0</v>
      </c>
      <c r="K25" s="3">
        <v>0.87342975</v>
      </c>
    </row>
    <row r="26" ht="15.75" customHeight="1">
      <c r="A26" s="3" t="s">
        <v>17</v>
      </c>
      <c r="B26" s="6">
        <v>45931.0</v>
      </c>
      <c r="C26" s="7">
        <v>45931.0</v>
      </c>
      <c r="D26" s="3" t="s">
        <v>45</v>
      </c>
      <c r="E26" s="3" t="s">
        <v>66</v>
      </c>
      <c r="F26" s="3" t="s">
        <v>69</v>
      </c>
      <c r="G26" s="3" t="s">
        <v>68</v>
      </c>
      <c r="H26" s="3">
        <v>269.0</v>
      </c>
      <c r="I26" s="3">
        <v>218.92</v>
      </c>
      <c r="J26" s="3">
        <v>21062.0</v>
      </c>
      <c r="K26" s="3">
        <v>0.813829</v>
      </c>
    </row>
    <row r="27" ht="15.75" customHeight="1">
      <c r="A27" s="3" t="s">
        <v>17</v>
      </c>
      <c r="B27" s="6">
        <v>45931.0</v>
      </c>
      <c r="C27" s="7">
        <v>45931.0</v>
      </c>
      <c r="D27" s="3" t="s">
        <v>45</v>
      </c>
      <c r="E27" s="3" t="s">
        <v>66</v>
      </c>
      <c r="F27" s="3" t="s">
        <v>73</v>
      </c>
      <c r="G27" s="3" t="s">
        <v>68</v>
      </c>
      <c r="H27" s="3">
        <v>967.0</v>
      </c>
      <c r="I27" s="3">
        <v>654.48</v>
      </c>
      <c r="J27" s="3">
        <v>67735.0</v>
      </c>
      <c r="K27" s="3">
        <v>0.67681489</v>
      </c>
    </row>
    <row r="28" ht="15.75" customHeight="1">
      <c r="A28" s="3" t="s">
        <v>17</v>
      </c>
      <c r="B28" s="6">
        <v>45931.0</v>
      </c>
      <c r="C28" s="7">
        <v>45931.0</v>
      </c>
      <c r="D28" s="3" t="s">
        <v>49</v>
      </c>
      <c r="E28" s="3" t="s">
        <v>66</v>
      </c>
      <c r="F28" s="3" t="s">
        <v>70</v>
      </c>
      <c r="G28" s="3" t="s">
        <v>71</v>
      </c>
      <c r="H28" s="3">
        <v>43038.0</v>
      </c>
      <c r="I28" s="3">
        <v>301.17</v>
      </c>
      <c r="J28" s="3">
        <v>44851.0</v>
      </c>
      <c r="K28" s="3">
        <v>6.99776941</v>
      </c>
    </row>
    <row r="29" ht="15.75" customHeight="1">
      <c r="A29" s="3" t="s">
        <v>17</v>
      </c>
      <c r="B29" s="6">
        <v>45931.0</v>
      </c>
      <c r="C29" s="7">
        <v>45931.0</v>
      </c>
      <c r="D29" s="3" t="s">
        <v>49</v>
      </c>
      <c r="E29" s="3" t="s">
        <v>66</v>
      </c>
      <c r="F29" s="3" t="s">
        <v>74</v>
      </c>
      <c r="G29" s="3" t="s">
        <v>71</v>
      </c>
      <c r="H29" s="3">
        <v>52073.0</v>
      </c>
      <c r="I29" s="3">
        <v>319.8</v>
      </c>
      <c r="J29" s="3">
        <v>52629.0</v>
      </c>
      <c r="K29" s="3">
        <v>6.14137845</v>
      </c>
    </row>
    <row r="30" ht="15.75" customHeight="1">
      <c r="A30" s="3" t="s">
        <v>17</v>
      </c>
      <c r="B30" s="6">
        <v>45931.0</v>
      </c>
      <c r="C30" s="7">
        <v>45931.0</v>
      </c>
      <c r="D30" s="3" t="s">
        <v>45</v>
      </c>
      <c r="E30" s="3" t="s">
        <v>66</v>
      </c>
      <c r="F30" s="3" t="s">
        <v>69</v>
      </c>
      <c r="G30" s="3" t="s">
        <v>68</v>
      </c>
      <c r="H30" s="3">
        <v>1130.0</v>
      </c>
      <c r="I30" s="3">
        <v>1127.0</v>
      </c>
      <c r="J30" s="3">
        <v>73000.0</v>
      </c>
      <c r="K30" s="3">
        <v>0.99734513</v>
      </c>
    </row>
    <row r="31" ht="15.75" customHeight="1">
      <c r="A31" s="3" t="s">
        <v>17</v>
      </c>
      <c r="B31" s="6">
        <v>45931.0</v>
      </c>
      <c r="C31" s="7">
        <v>45931.0</v>
      </c>
      <c r="D31" s="3" t="s">
        <v>49</v>
      </c>
      <c r="E31" s="3" t="s">
        <v>66</v>
      </c>
      <c r="F31" s="3" t="s">
        <v>70</v>
      </c>
      <c r="G31" s="3" t="s">
        <v>71</v>
      </c>
      <c r="H31" s="3">
        <v>67107.0</v>
      </c>
      <c r="I31" s="3">
        <v>505.68</v>
      </c>
      <c r="J31" s="3">
        <v>74746.0</v>
      </c>
      <c r="K31" s="3">
        <v>7.53542849</v>
      </c>
    </row>
    <row r="32" ht="15.75" customHeight="1">
      <c r="A32" s="3" t="s">
        <v>17</v>
      </c>
      <c r="B32" s="6">
        <v>45931.0</v>
      </c>
      <c r="C32" s="7">
        <v>45931.0</v>
      </c>
      <c r="D32" s="3" t="s">
        <v>45</v>
      </c>
      <c r="E32" s="3" t="s">
        <v>66</v>
      </c>
      <c r="F32" s="3" t="s">
        <v>67</v>
      </c>
      <c r="G32" s="3" t="s">
        <v>68</v>
      </c>
      <c r="H32" s="3">
        <v>872.0</v>
      </c>
      <c r="I32" s="3">
        <v>1126.96</v>
      </c>
      <c r="J32" s="3">
        <v>83712.0</v>
      </c>
      <c r="K32" s="3">
        <v>1.29238532</v>
      </c>
    </row>
    <row r="33" ht="15.75" customHeight="1">
      <c r="A33" s="3" t="s">
        <v>17</v>
      </c>
      <c r="B33" s="6">
        <v>45931.0</v>
      </c>
      <c r="C33" s="7">
        <v>45931.0</v>
      </c>
      <c r="D33" s="3" t="s">
        <v>45</v>
      </c>
      <c r="E33" s="3" t="s">
        <v>66</v>
      </c>
      <c r="F33" s="3" t="s">
        <v>73</v>
      </c>
      <c r="G33" s="3" t="s">
        <v>68</v>
      </c>
      <c r="H33" s="3">
        <v>3069.0</v>
      </c>
      <c r="I33" s="3">
        <v>3381.0</v>
      </c>
      <c r="J33" s="3">
        <v>285243.0</v>
      </c>
      <c r="K33" s="3">
        <v>1.10166178</v>
      </c>
    </row>
    <row r="34" ht="15.75" customHeight="1">
      <c r="A34" s="3" t="s">
        <v>17</v>
      </c>
      <c r="B34" s="6">
        <v>45931.0</v>
      </c>
      <c r="C34" s="7">
        <v>45931.0</v>
      </c>
      <c r="D34" s="3" t="s">
        <v>49</v>
      </c>
      <c r="E34" s="3" t="s">
        <v>66</v>
      </c>
      <c r="F34" s="3" t="s">
        <v>74</v>
      </c>
      <c r="G34" s="3" t="s">
        <v>71</v>
      </c>
      <c r="H34" s="3">
        <v>72253.0</v>
      </c>
      <c r="I34" s="3">
        <v>437.75</v>
      </c>
      <c r="J34" s="3">
        <v>77537.0</v>
      </c>
      <c r="K34" s="3">
        <v>6.05857196</v>
      </c>
    </row>
    <row r="35" ht="15.75" customHeight="1">
      <c r="A35" s="3" t="s">
        <v>17</v>
      </c>
      <c r="B35" s="6">
        <v>45931.0</v>
      </c>
      <c r="C35" s="7">
        <v>45931.0</v>
      </c>
      <c r="D35" s="3" t="s">
        <v>49</v>
      </c>
      <c r="E35" s="3" t="s">
        <v>66</v>
      </c>
      <c r="F35" s="3" t="s">
        <v>70</v>
      </c>
      <c r="G35" s="3" t="s">
        <v>71</v>
      </c>
      <c r="H35" s="3">
        <v>63086.0</v>
      </c>
      <c r="I35" s="3">
        <v>444.83</v>
      </c>
      <c r="J35" s="3">
        <v>69084.0</v>
      </c>
      <c r="K35" s="3">
        <v>7.05116825</v>
      </c>
    </row>
    <row r="36" ht="15.75" customHeight="1">
      <c r="A36" s="3" t="s">
        <v>17</v>
      </c>
      <c r="B36" s="6">
        <v>45931.0</v>
      </c>
      <c r="C36" s="7">
        <v>45931.0</v>
      </c>
      <c r="D36" s="3" t="s">
        <v>49</v>
      </c>
      <c r="E36" s="3" t="s">
        <v>66</v>
      </c>
      <c r="F36" s="3" t="s">
        <v>72</v>
      </c>
      <c r="G36" s="3" t="s">
        <v>71</v>
      </c>
      <c r="H36" s="3">
        <v>223544.0</v>
      </c>
      <c r="I36" s="3">
        <v>1314.93</v>
      </c>
      <c r="J36" s="3">
        <v>232498.0</v>
      </c>
      <c r="K36" s="3">
        <v>5.88219769</v>
      </c>
    </row>
    <row r="37" ht="15.75" customHeight="1">
      <c r="A37" s="3" t="s">
        <v>17</v>
      </c>
      <c r="B37" s="6">
        <v>45931.0</v>
      </c>
      <c r="C37" s="7">
        <v>45931.0</v>
      </c>
      <c r="D37" s="3" t="s">
        <v>49</v>
      </c>
      <c r="E37" s="3" t="s">
        <v>66</v>
      </c>
      <c r="F37" s="3" t="s">
        <v>70</v>
      </c>
      <c r="G37" s="3" t="s">
        <v>71</v>
      </c>
      <c r="H37" s="3">
        <v>85440.0</v>
      </c>
      <c r="I37" s="3">
        <v>645.09</v>
      </c>
      <c r="J37" s="3">
        <v>90985.0</v>
      </c>
      <c r="K37" s="3">
        <v>7.55021067</v>
      </c>
    </row>
    <row r="38" ht="15.75" customHeight="1">
      <c r="A38" s="3" t="s">
        <v>17</v>
      </c>
      <c r="B38" s="6">
        <v>45931.0</v>
      </c>
      <c r="C38" s="7">
        <v>45931.0</v>
      </c>
      <c r="D38" s="3" t="s">
        <v>49</v>
      </c>
      <c r="E38" s="3" t="s">
        <v>66</v>
      </c>
      <c r="F38" s="3" t="s">
        <v>72</v>
      </c>
      <c r="G38" s="3" t="s">
        <v>71</v>
      </c>
      <c r="H38" s="3">
        <v>322774.0</v>
      </c>
      <c r="I38" s="3">
        <v>1935.2</v>
      </c>
      <c r="J38" s="3">
        <v>322774.0</v>
      </c>
      <c r="K38" s="3">
        <v>5.99552628</v>
      </c>
    </row>
    <row r="39" ht="15.75" customHeight="1">
      <c r="A39" s="3" t="s">
        <v>17</v>
      </c>
      <c r="B39" s="6">
        <v>45931.0</v>
      </c>
      <c r="C39" s="7">
        <v>45931.0</v>
      </c>
      <c r="D39" s="3" t="s">
        <v>45</v>
      </c>
      <c r="E39" s="3" t="s">
        <v>66</v>
      </c>
      <c r="F39" s="3" t="s">
        <v>73</v>
      </c>
      <c r="G39" s="3" t="s">
        <v>68</v>
      </c>
      <c r="H39" s="3">
        <v>782.0</v>
      </c>
      <c r="I39" s="3">
        <v>676.26</v>
      </c>
      <c r="J39" s="3">
        <v>37101.0</v>
      </c>
      <c r="K39" s="3">
        <v>0.86478261</v>
      </c>
    </row>
    <row r="40" ht="15.75" customHeight="1">
      <c r="A40" s="3" t="s">
        <v>17</v>
      </c>
      <c r="B40" s="6">
        <v>45992.0</v>
      </c>
      <c r="C40" s="7">
        <v>45992.0</v>
      </c>
      <c r="D40" s="3" t="s">
        <v>49</v>
      </c>
      <c r="E40" s="3" t="s">
        <v>96</v>
      </c>
      <c r="F40" s="3" t="s">
        <v>98</v>
      </c>
      <c r="G40" s="3" t="s">
        <v>68</v>
      </c>
      <c r="H40" s="3">
        <v>1592.0</v>
      </c>
      <c r="I40" s="3">
        <v>1497.59</v>
      </c>
      <c r="J40" s="3">
        <v>27237.0</v>
      </c>
      <c r="K40" s="3">
        <v>0.94069724</v>
      </c>
    </row>
    <row r="41" ht="15.75" customHeight="1">
      <c r="A41" s="3" t="s">
        <v>17</v>
      </c>
      <c r="B41" s="6">
        <v>45992.0</v>
      </c>
      <c r="C41" s="7">
        <v>45992.0</v>
      </c>
      <c r="D41" s="3" t="s">
        <v>49</v>
      </c>
      <c r="E41" s="3" t="s">
        <v>96</v>
      </c>
      <c r="F41" s="3" t="s">
        <v>101</v>
      </c>
      <c r="G41" s="3" t="s">
        <v>71</v>
      </c>
      <c r="H41" s="3">
        <v>167714.0</v>
      </c>
      <c r="I41" s="3">
        <v>1797.09</v>
      </c>
      <c r="J41" s="3">
        <v>221444.0</v>
      </c>
      <c r="K41" s="3">
        <v>10.71520565</v>
      </c>
    </row>
    <row r="42" ht="15.75" customHeight="1">
      <c r="A42" s="3" t="s">
        <v>17</v>
      </c>
      <c r="B42" s="6">
        <v>45992.0</v>
      </c>
      <c r="C42" s="7">
        <v>45992.0</v>
      </c>
      <c r="D42" s="3" t="s">
        <v>49</v>
      </c>
      <c r="E42" s="3" t="s">
        <v>96</v>
      </c>
      <c r="F42" s="3" t="s">
        <v>101</v>
      </c>
      <c r="G42" s="3" t="s">
        <v>71</v>
      </c>
      <c r="H42" s="3">
        <v>310599.0</v>
      </c>
      <c r="I42" s="3">
        <v>2396.12</v>
      </c>
      <c r="J42" s="3">
        <v>351680.0</v>
      </c>
      <c r="K42" s="3">
        <v>7.71451293</v>
      </c>
    </row>
    <row r="43" ht="15.75" customHeight="1">
      <c r="A43" s="3" t="s">
        <v>17</v>
      </c>
      <c r="B43" s="6">
        <v>45992.0</v>
      </c>
      <c r="C43" s="7">
        <v>45992.0</v>
      </c>
      <c r="D43" s="3" t="s">
        <v>49</v>
      </c>
      <c r="E43" s="3" t="s">
        <v>96</v>
      </c>
      <c r="F43" s="3" t="s">
        <v>101</v>
      </c>
      <c r="G43" s="3" t="s">
        <v>71</v>
      </c>
      <c r="H43" s="3">
        <v>239466.0</v>
      </c>
      <c r="I43" s="3">
        <v>1797.09</v>
      </c>
      <c r="J43" s="3">
        <v>271148.0</v>
      </c>
      <c r="K43" s="3">
        <v>7.50457267</v>
      </c>
    </row>
    <row r="44" ht="15.75" customHeight="1">
      <c r="A44" s="3" t="s">
        <v>17</v>
      </c>
      <c r="B44" s="6">
        <v>45992.0</v>
      </c>
      <c r="C44" s="7">
        <v>45992.0</v>
      </c>
      <c r="D44" s="3" t="s">
        <v>45</v>
      </c>
      <c r="E44" s="3" t="s">
        <v>96</v>
      </c>
      <c r="F44" s="3" t="s">
        <v>98</v>
      </c>
      <c r="G44" s="3" t="s">
        <v>68</v>
      </c>
      <c r="H44" s="3">
        <v>2662.0</v>
      </c>
      <c r="I44" s="3">
        <v>1497.59</v>
      </c>
      <c r="J44" s="3">
        <v>179577.0</v>
      </c>
      <c r="K44" s="3">
        <v>0.56258077</v>
      </c>
    </row>
    <row r="45" ht="15.75" customHeight="1">
      <c r="A45" s="3" t="s">
        <v>17</v>
      </c>
      <c r="B45" s="6">
        <v>45992.0</v>
      </c>
      <c r="C45" s="7">
        <v>45992.0</v>
      </c>
      <c r="D45" s="3" t="s">
        <v>45</v>
      </c>
      <c r="E45" s="3" t="s">
        <v>96</v>
      </c>
      <c r="F45" s="3" t="s">
        <v>102</v>
      </c>
      <c r="G45" s="3" t="s">
        <v>71</v>
      </c>
      <c r="H45" s="3">
        <v>414579.0</v>
      </c>
      <c r="I45" s="3">
        <v>2396.12</v>
      </c>
      <c r="J45" s="3">
        <v>557806.0</v>
      </c>
      <c r="K45" s="3">
        <v>5.77964634</v>
      </c>
    </row>
    <row r="46" ht="15.75" customHeight="1">
      <c r="A46" s="3" t="s">
        <v>17</v>
      </c>
      <c r="B46" s="6">
        <v>45992.0</v>
      </c>
      <c r="C46" s="7">
        <v>45992.0</v>
      </c>
      <c r="D46" s="3" t="s">
        <v>45</v>
      </c>
      <c r="E46" s="3" t="s">
        <v>96</v>
      </c>
      <c r="F46" s="3" t="s">
        <v>102</v>
      </c>
      <c r="G46" s="3" t="s">
        <v>71</v>
      </c>
      <c r="H46" s="3">
        <v>258434.0</v>
      </c>
      <c r="I46" s="3">
        <v>1797.09</v>
      </c>
      <c r="J46" s="3">
        <v>376813.0</v>
      </c>
      <c r="K46" s="3">
        <v>6.95376769</v>
      </c>
    </row>
    <row r="47" ht="15.75" customHeight="1">
      <c r="A47" s="3" t="s">
        <v>17</v>
      </c>
      <c r="B47" s="6">
        <v>45992.0</v>
      </c>
      <c r="C47" s="7">
        <v>45992.0</v>
      </c>
      <c r="D47" s="3" t="s">
        <v>49</v>
      </c>
      <c r="E47" s="3" t="s">
        <v>103</v>
      </c>
      <c r="F47" s="3" t="s">
        <v>104</v>
      </c>
      <c r="G47" s="3" t="s">
        <v>68</v>
      </c>
      <c r="H47" s="3">
        <v>449.0</v>
      </c>
      <c r="I47" s="3">
        <v>504.64</v>
      </c>
      <c r="J47" s="3">
        <v>3667.0</v>
      </c>
      <c r="K47" s="3">
        <v>1.12391982</v>
      </c>
    </row>
    <row r="48" ht="15.75" customHeight="1">
      <c r="A48" s="3" t="s">
        <v>17</v>
      </c>
      <c r="B48" s="6">
        <v>45992.0</v>
      </c>
      <c r="C48" s="7">
        <v>45992.0</v>
      </c>
      <c r="D48" s="3" t="s">
        <v>45</v>
      </c>
      <c r="E48" s="3" t="s">
        <v>103</v>
      </c>
      <c r="F48" s="3" t="s">
        <v>104</v>
      </c>
      <c r="G48" s="3" t="s">
        <v>68</v>
      </c>
      <c r="H48" s="3">
        <v>551.0</v>
      </c>
      <c r="I48" s="3">
        <v>465.26</v>
      </c>
      <c r="J48" s="3">
        <v>10757.0</v>
      </c>
      <c r="K48" s="3">
        <v>0.84439201</v>
      </c>
    </row>
    <row r="49" ht="15.75" customHeight="1">
      <c r="A49" s="3" t="s">
        <v>17</v>
      </c>
      <c r="B49" s="6">
        <v>45992.0</v>
      </c>
      <c r="C49" s="7">
        <v>45992.0</v>
      </c>
      <c r="D49" s="3" t="s">
        <v>49</v>
      </c>
      <c r="E49" s="3" t="s">
        <v>103</v>
      </c>
      <c r="F49" s="3" t="s">
        <v>105</v>
      </c>
      <c r="G49" s="3" t="s">
        <v>71</v>
      </c>
      <c r="H49" s="3">
        <v>196451.0</v>
      </c>
      <c r="I49" s="3">
        <v>1061.56</v>
      </c>
      <c r="J49" s="3">
        <v>201514.0</v>
      </c>
      <c r="K49" s="3">
        <v>5.40368845</v>
      </c>
    </row>
    <row r="50" ht="15.75" customHeight="1">
      <c r="A50" s="3" t="s">
        <v>17</v>
      </c>
      <c r="B50" s="6">
        <v>45992.0</v>
      </c>
      <c r="C50" s="7">
        <v>45992.0</v>
      </c>
      <c r="D50" s="3" t="s">
        <v>45</v>
      </c>
      <c r="E50" s="3" t="s">
        <v>103</v>
      </c>
      <c r="F50" s="3" t="s">
        <v>105</v>
      </c>
      <c r="G50" s="3" t="s">
        <v>71</v>
      </c>
      <c r="H50" s="3">
        <v>199864.0</v>
      </c>
      <c r="I50" s="3">
        <v>992.76</v>
      </c>
      <c r="J50" s="3">
        <v>204804.0</v>
      </c>
      <c r="K50" s="3">
        <v>4.96717768</v>
      </c>
    </row>
    <row r="51" ht="15.75" customHeight="1">
      <c r="A51" s="3" t="s">
        <v>17</v>
      </c>
      <c r="B51" s="6">
        <v>45992.0</v>
      </c>
      <c r="C51" s="7">
        <v>45992.0</v>
      </c>
      <c r="D51" s="3" t="s">
        <v>45</v>
      </c>
      <c r="E51" s="3" t="s">
        <v>96</v>
      </c>
      <c r="F51" s="3" t="s">
        <v>102</v>
      </c>
      <c r="G51" s="3" t="s">
        <v>71</v>
      </c>
      <c r="H51" s="3">
        <v>332004.0</v>
      </c>
      <c r="I51" s="3">
        <v>1797.09</v>
      </c>
      <c r="J51" s="3">
        <v>429591.0</v>
      </c>
      <c r="K51" s="3">
        <v>5.41285647</v>
      </c>
    </row>
    <row r="52" ht="15.75" customHeight="1">
      <c r="A52" s="3" t="s">
        <v>17</v>
      </c>
      <c r="B52" s="8">
        <v>46023.0</v>
      </c>
      <c r="C52" s="7">
        <v>46023.0</v>
      </c>
      <c r="D52" s="3" t="s">
        <v>49</v>
      </c>
      <c r="E52" s="3" t="s">
        <v>106</v>
      </c>
      <c r="F52" s="3" t="s">
        <v>107</v>
      </c>
      <c r="G52" s="3" t="s">
        <v>71</v>
      </c>
      <c r="H52" s="3">
        <v>695109.0</v>
      </c>
      <c r="I52" s="3">
        <v>4000.0</v>
      </c>
      <c r="J52" s="3">
        <v>749264.0</v>
      </c>
      <c r="K52" s="3">
        <v>5.75449318</v>
      </c>
    </row>
    <row r="53" ht="15.75" customHeight="1">
      <c r="A53" s="3" t="s">
        <v>17</v>
      </c>
      <c r="B53" s="8">
        <v>46023.0</v>
      </c>
      <c r="C53" s="7">
        <v>46023.0</v>
      </c>
      <c r="D53" s="3" t="s">
        <v>45</v>
      </c>
      <c r="E53" s="3" t="s">
        <v>106</v>
      </c>
      <c r="F53" s="3" t="s">
        <v>108</v>
      </c>
      <c r="G53" s="3" t="s">
        <v>68</v>
      </c>
      <c r="H53" s="3">
        <v>5728.0</v>
      </c>
      <c r="I53" s="3">
        <v>4000.0</v>
      </c>
      <c r="J53" s="3">
        <v>199252.0</v>
      </c>
      <c r="K53" s="3">
        <v>0.69832402</v>
      </c>
    </row>
    <row r="54" ht="15.75" customHeight="1">
      <c r="A54" s="3" t="s">
        <v>17</v>
      </c>
      <c r="B54" s="8">
        <v>46023.0</v>
      </c>
      <c r="C54" s="7">
        <v>46023.0</v>
      </c>
      <c r="D54" s="3" t="s">
        <v>49</v>
      </c>
      <c r="E54" s="3" t="s">
        <v>106</v>
      </c>
      <c r="F54" s="3" t="s">
        <v>107</v>
      </c>
      <c r="G54" s="3" t="s">
        <v>71</v>
      </c>
      <c r="H54" s="3">
        <v>714633.0</v>
      </c>
      <c r="I54" s="3">
        <v>4000.0</v>
      </c>
      <c r="J54" s="3">
        <v>825672.0</v>
      </c>
      <c r="K54" s="3">
        <v>5.5972786</v>
      </c>
    </row>
    <row r="55" ht="15.75" customHeight="1">
      <c r="A55" s="3" t="s">
        <v>17</v>
      </c>
      <c r="B55" s="8">
        <v>46023.0</v>
      </c>
      <c r="C55" s="7">
        <v>46023.0</v>
      </c>
      <c r="D55" s="3" t="s">
        <v>49</v>
      </c>
      <c r="E55" s="3" t="s">
        <v>106</v>
      </c>
      <c r="F55" s="3" t="s">
        <v>107</v>
      </c>
      <c r="G55" s="3" t="s">
        <v>71</v>
      </c>
      <c r="H55" s="3">
        <v>660934.0</v>
      </c>
      <c r="I55" s="3">
        <v>4000.0</v>
      </c>
      <c r="J55" s="3">
        <v>703873.0</v>
      </c>
      <c r="K55" s="3">
        <v>6.0520415</v>
      </c>
    </row>
    <row r="56" ht="15.75" customHeight="1">
      <c r="A56" s="3" t="s">
        <v>17</v>
      </c>
      <c r="B56" s="8">
        <v>46023.0</v>
      </c>
      <c r="C56" s="7">
        <v>46023.0</v>
      </c>
      <c r="D56" s="3" t="s">
        <v>45</v>
      </c>
      <c r="E56" s="3" t="s">
        <v>106</v>
      </c>
      <c r="F56" s="3" t="s">
        <v>108</v>
      </c>
      <c r="G56" s="3" t="s">
        <v>68</v>
      </c>
      <c r="H56" s="3">
        <v>1908.0</v>
      </c>
      <c r="I56" s="3">
        <v>2046.01</v>
      </c>
      <c r="J56" s="3">
        <v>85508.0</v>
      </c>
      <c r="K56" s="3">
        <v>1.07233229</v>
      </c>
    </row>
    <row r="57" ht="15.75" customHeight="1">
      <c r="A57" s="3" t="s">
        <v>17</v>
      </c>
      <c r="B57" s="8">
        <v>46023.0</v>
      </c>
      <c r="C57" s="7">
        <v>46023.0</v>
      </c>
      <c r="D57" s="3" t="s">
        <v>45</v>
      </c>
      <c r="E57" s="3" t="s">
        <v>106</v>
      </c>
      <c r="F57" s="3" t="s">
        <v>108</v>
      </c>
      <c r="G57" s="3" t="s">
        <v>68</v>
      </c>
      <c r="H57" s="3">
        <v>4625.0</v>
      </c>
      <c r="I57" s="3">
        <v>2330.85</v>
      </c>
      <c r="J57" s="3">
        <v>145351.0</v>
      </c>
      <c r="K57" s="3">
        <v>0.50396757</v>
      </c>
    </row>
    <row r="58" ht="15.75" customHeight="1">
      <c r="A58" s="3" t="s">
        <v>17</v>
      </c>
      <c r="B58" s="8">
        <v>46023.0</v>
      </c>
      <c r="C58" s="7">
        <v>46023.0</v>
      </c>
      <c r="D58" s="3" t="s">
        <v>45</v>
      </c>
      <c r="E58" s="3" t="s">
        <v>106</v>
      </c>
      <c r="F58" s="3" t="s">
        <v>108</v>
      </c>
      <c r="G58" s="3" t="s">
        <v>68</v>
      </c>
      <c r="H58" s="3">
        <v>2132.0</v>
      </c>
      <c r="I58" s="3">
        <v>1948.39</v>
      </c>
      <c r="J58" s="3">
        <v>84293.0</v>
      </c>
      <c r="K58" s="3">
        <v>0.91387899</v>
      </c>
    </row>
    <row r="59" ht="15.75" customHeight="1">
      <c r="A59" s="3" t="s">
        <v>17</v>
      </c>
      <c r="B59" s="8">
        <v>46054.0</v>
      </c>
      <c r="C59" s="7">
        <v>46054.0</v>
      </c>
      <c r="D59" s="3" t="s">
        <v>49</v>
      </c>
      <c r="E59" s="3" t="s">
        <v>106</v>
      </c>
      <c r="F59" s="3" t="s">
        <v>107</v>
      </c>
      <c r="G59" s="3" t="s">
        <v>71</v>
      </c>
      <c r="H59" s="3">
        <v>226030.0</v>
      </c>
      <c r="I59" s="3">
        <v>991.54</v>
      </c>
      <c r="J59" s="3">
        <v>226030.0</v>
      </c>
      <c r="K59" s="3">
        <v>4.38676282</v>
      </c>
    </row>
    <row r="60" ht="15.75" customHeight="1">
      <c r="A60" s="3" t="s">
        <v>17</v>
      </c>
      <c r="B60" s="8">
        <v>46054.0</v>
      </c>
      <c r="C60" s="7">
        <v>46054.0</v>
      </c>
      <c r="D60" s="3" t="s">
        <v>45</v>
      </c>
      <c r="E60" s="3" t="s">
        <v>106</v>
      </c>
      <c r="F60" s="3" t="s">
        <v>108</v>
      </c>
      <c r="G60" s="3" t="s">
        <v>68</v>
      </c>
      <c r="H60" s="3">
        <v>1796.0</v>
      </c>
      <c r="I60" s="3">
        <v>953.99</v>
      </c>
      <c r="J60" s="3">
        <v>53815.0</v>
      </c>
      <c r="K60" s="3">
        <v>0.53117483</v>
      </c>
    </row>
    <row r="61" ht="15.75" customHeight="1">
      <c r="A61" s="3" t="s">
        <v>17</v>
      </c>
      <c r="B61" s="8">
        <v>46054.0</v>
      </c>
      <c r="C61" s="7">
        <v>46054.0</v>
      </c>
      <c r="D61" s="3" t="s">
        <v>45</v>
      </c>
      <c r="E61" s="3" t="s">
        <v>106</v>
      </c>
      <c r="F61" s="3" t="s">
        <v>108</v>
      </c>
      <c r="G61" s="3" t="s">
        <v>68</v>
      </c>
      <c r="H61" s="3">
        <v>3547.0</v>
      </c>
      <c r="I61" s="3">
        <v>1669.15</v>
      </c>
      <c r="J61" s="3">
        <v>145426.0</v>
      </c>
      <c r="K61" s="3">
        <v>0.47058077</v>
      </c>
    </row>
    <row r="62" ht="15.75" customHeight="1">
      <c r="A62" s="3" t="s">
        <v>17</v>
      </c>
      <c r="B62" s="8">
        <v>46054.0</v>
      </c>
      <c r="C62" s="7">
        <v>46054.0</v>
      </c>
      <c r="D62" s="3" t="s">
        <v>45</v>
      </c>
      <c r="E62" s="3" t="s">
        <v>106</v>
      </c>
      <c r="F62" s="3" t="s">
        <v>108</v>
      </c>
      <c r="G62" s="3" t="s">
        <v>68</v>
      </c>
      <c r="H62" s="3">
        <v>3687.0</v>
      </c>
      <c r="I62" s="3">
        <v>2040.73</v>
      </c>
      <c r="J62" s="3">
        <v>120086.0</v>
      </c>
      <c r="K62" s="3">
        <v>0.55349336</v>
      </c>
    </row>
    <row r="63" ht="15.75" customHeight="1">
      <c r="A63" s="3" t="s">
        <v>17</v>
      </c>
      <c r="B63" s="8">
        <v>46054.0</v>
      </c>
      <c r="C63" s="7">
        <v>46054.0</v>
      </c>
      <c r="D63" s="3" t="s">
        <v>49</v>
      </c>
      <c r="E63" s="3" t="s">
        <v>106</v>
      </c>
      <c r="F63" s="3" t="s">
        <v>107</v>
      </c>
      <c r="G63" s="3" t="s">
        <v>71</v>
      </c>
      <c r="H63" s="3">
        <v>404329.0</v>
      </c>
      <c r="I63" s="3">
        <v>1907.04</v>
      </c>
      <c r="J63" s="3">
        <v>420594.0</v>
      </c>
      <c r="K63" s="3">
        <v>4.71655508</v>
      </c>
    </row>
    <row r="64" ht="15.75" customHeight="1">
      <c r="A64" s="3" t="s">
        <v>17</v>
      </c>
      <c r="B64" s="8">
        <v>46054.0</v>
      </c>
      <c r="C64" s="7">
        <v>46054.0</v>
      </c>
      <c r="D64" s="3" t="s">
        <v>49</v>
      </c>
      <c r="E64" s="3" t="s">
        <v>106</v>
      </c>
      <c r="F64" s="3" t="s">
        <v>107</v>
      </c>
      <c r="G64" s="3" t="s">
        <v>71</v>
      </c>
      <c r="H64" s="3">
        <v>221719.0</v>
      </c>
      <c r="I64" s="3">
        <v>992.25</v>
      </c>
      <c r="J64" s="3">
        <v>229091.0</v>
      </c>
      <c r="K64" s="3">
        <v>4.47525922</v>
      </c>
    </row>
    <row r="65" ht="15.75" customHeight="1">
      <c r="A65" s="3" t="s">
        <v>17</v>
      </c>
      <c r="B65" s="8">
        <v>46054.0</v>
      </c>
      <c r="C65" s="7">
        <v>46054.0</v>
      </c>
      <c r="D65" s="3" t="s">
        <v>45</v>
      </c>
      <c r="E65" s="3" t="s">
        <v>103</v>
      </c>
      <c r="F65" s="3" t="s">
        <v>109</v>
      </c>
      <c r="G65" s="3" t="s">
        <v>68</v>
      </c>
      <c r="H65" s="3">
        <v>1284.0</v>
      </c>
      <c r="I65" s="3">
        <v>799.94</v>
      </c>
      <c r="J65" s="3">
        <v>55629.0</v>
      </c>
      <c r="K65" s="3">
        <v>0.62300623</v>
      </c>
    </row>
    <row r="66" ht="15.75" customHeight="1">
      <c r="A66" s="3" t="s">
        <v>17</v>
      </c>
      <c r="B66" s="8">
        <v>46054.0</v>
      </c>
      <c r="C66" s="7">
        <v>46054.0</v>
      </c>
      <c r="D66" s="3" t="s">
        <v>49</v>
      </c>
      <c r="E66" s="3" t="s">
        <v>106</v>
      </c>
      <c r="F66" s="3" t="s">
        <v>107</v>
      </c>
      <c r="G66" s="3" t="s">
        <v>71</v>
      </c>
      <c r="H66" s="3">
        <v>392025.0</v>
      </c>
      <c r="I66" s="3">
        <v>3078.15</v>
      </c>
      <c r="J66" s="3">
        <v>396634.0</v>
      </c>
      <c r="K66" s="3">
        <v>7.85192271</v>
      </c>
    </row>
    <row r="67" ht="15.75" customHeight="1">
      <c r="A67" s="3" t="s">
        <v>17</v>
      </c>
      <c r="B67" s="8">
        <v>46054.0</v>
      </c>
      <c r="C67" s="7">
        <v>46054.0</v>
      </c>
      <c r="D67" s="3" t="s">
        <v>49</v>
      </c>
      <c r="E67" s="3" t="s">
        <v>106</v>
      </c>
      <c r="F67" s="3" t="s">
        <v>107</v>
      </c>
      <c r="G67" s="3" t="s">
        <v>71</v>
      </c>
      <c r="H67" s="3">
        <v>282272.0</v>
      </c>
      <c r="I67" s="3">
        <v>2377.02</v>
      </c>
      <c r="J67" s="3">
        <v>286746.0</v>
      </c>
      <c r="K67" s="3">
        <v>8.42102653</v>
      </c>
    </row>
    <row r="68" ht="15.75" customHeight="1">
      <c r="A68" s="3" t="s">
        <v>17</v>
      </c>
      <c r="B68" s="8">
        <v>46054.0</v>
      </c>
      <c r="C68" s="7">
        <v>46054.0</v>
      </c>
      <c r="D68" s="3" t="s">
        <v>45</v>
      </c>
      <c r="E68" s="3" t="s">
        <v>106</v>
      </c>
      <c r="F68" s="3" t="s">
        <v>108</v>
      </c>
      <c r="G68" s="3" t="s">
        <v>68</v>
      </c>
      <c r="H68" s="3">
        <v>5235.0</v>
      </c>
      <c r="I68" s="3">
        <v>3837.61</v>
      </c>
      <c r="J68" s="3">
        <v>243627.0</v>
      </c>
      <c r="K68" s="3">
        <v>0.73306781</v>
      </c>
    </row>
    <row r="69" ht="15.75" customHeight="1">
      <c r="A69" s="3" t="s">
        <v>17</v>
      </c>
      <c r="B69" s="8">
        <v>46054.0</v>
      </c>
      <c r="C69" s="7">
        <v>46054.0</v>
      </c>
      <c r="D69" s="3" t="s">
        <v>45</v>
      </c>
      <c r="E69" s="3" t="s">
        <v>106</v>
      </c>
      <c r="F69" s="3" t="s">
        <v>108</v>
      </c>
      <c r="G69" s="3" t="s">
        <v>68</v>
      </c>
      <c r="H69" s="3">
        <v>5152.0</v>
      </c>
      <c r="I69" s="3">
        <v>3853.27</v>
      </c>
      <c r="J69" s="3">
        <v>279398.0</v>
      </c>
      <c r="K69" s="3">
        <v>0.74791731</v>
      </c>
    </row>
    <row r="70" ht="15.75" customHeight="1">
      <c r="A70" s="3" t="s">
        <v>17</v>
      </c>
      <c r="B70" s="8">
        <v>46054.0</v>
      </c>
      <c r="C70" s="7">
        <v>46054.0</v>
      </c>
      <c r="D70" s="3" t="s">
        <v>49</v>
      </c>
      <c r="E70" s="3" t="s">
        <v>103</v>
      </c>
      <c r="F70" s="3" t="s">
        <v>110</v>
      </c>
      <c r="G70" s="3" t="s">
        <v>71</v>
      </c>
      <c r="H70" s="3">
        <v>346460.0</v>
      </c>
      <c r="I70" s="3">
        <v>1550.0</v>
      </c>
      <c r="J70" s="3">
        <v>346460.0</v>
      </c>
      <c r="K70" s="3">
        <v>4.47382093</v>
      </c>
    </row>
    <row r="71" ht="15.75" customHeight="1">
      <c r="A71" s="3" t="s">
        <v>17</v>
      </c>
      <c r="B71" s="8">
        <v>46054.0</v>
      </c>
      <c r="C71" s="7">
        <v>46054.0</v>
      </c>
      <c r="D71" s="3" t="s">
        <v>49</v>
      </c>
      <c r="E71" s="3" t="s">
        <v>106</v>
      </c>
      <c r="F71" s="3" t="s">
        <v>107</v>
      </c>
      <c r="G71" s="3" t="s">
        <v>71</v>
      </c>
      <c r="H71" s="3">
        <v>246420.0</v>
      </c>
      <c r="I71" s="3">
        <v>2626.38</v>
      </c>
      <c r="J71" s="3">
        <v>252921.0</v>
      </c>
      <c r="K71" s="3">
        <v>10.65814463</v>
      </c>
    </row>
    <row r="72" ht="15.75" customHeight="1">
      <c r="A72" s="3" t="s">
        <v>17</v>
      </c>
      <c r="B72" s="8">
        <v>46082.0</v>
      </c>
      <c r="C72" s="7">
        <v>46082.0</v>
      </c>
      <c r="D72" s="3" t="s">
        <v>45</v>
      </c>
      <c r="E72" s="3" t="s">
        <v>103</v>
      </c>
      <c r="F72" s="3" t="s">
        <v>111</v>
      </c>
      <c r="G72" s="3" t="s">
        <v>68</v>
      </c>
      <c r="H72" s="3">
        <v>519.0</v>
      </c>
      <c r="I72" s="3">
        <v>325.73</v>
      </c>
      <c r="J72" s="3">
        <v>36493.0</v>
      </c>
      <c r="K72" s="3">
        <v>0.62761079</v>
      </c>
    </row>
    <row r="73" ht="15.75" customHeight="1">
      <c r="A73" s="3" t="s">
        <v>17</v>
      </c>
      <c r="B73" s="8">
        <v>46082.0</v>
      </c>
      <c r="C73" s="7">
        <v>46082.0</v>
      </c>
      <c r="D73" s="3" t="s">
        <v>49</v>
      </c>
      <c r="E73" s="3" t="s">
        <v>103</v>
      </c>
      <c r="F73" s="3" t="s">
        <v>112</v>
      </c>
      <c r="G73" s="3" t="s">
        <v>71</v>
      </c>
      <c r="H73" s="3">
        <v>123854.0</v>
      </c>
      <c r="I73" s="3">
        <v>733.25</v>
      </c>
      <c r="J73" s="3">
        <v>129495.0</v>
      </c>
      <c r="K73" s="3">
        <v>5.9202771</v>
      </c>
    </row>
    <row r="74" ht="15.75" customHeight="1">
      <c r="A74" s="3" t="s">
        <v>17</v>
      </c>
      <c r="B74" s="8">
        <v>46082.0</v>
      </c>
      <c r="C74" s="7">
        <v>46082.0</v>
      </c>
      <c r="D74" s="3" t="s">
        <v>45</v>
      </c>
      <c r="E74" s="3" t="s">
        <v>103</v>
      </c>
      <c r="F74" s="3" t="s">
        <v>111</v>
      </c>
      <c r="G74" s="3" t="s">
        <v>68</v>
      </c>
      <c r="H74" s="3">
        <v>438.0</v>
      </c>
      <c r="I74" s="3">
        <v>325.74</v>
      </c>
      <c r="J74" s="3">
        <v>14614.0</v>
      </c>
      <c r="K74" s="3">
        <v>0.74369863</v>
      </c>
    </row>
    <row r="75" ht="15.75" customHeight="1">
      <c r="A75" s="3" t="s">
        <v>17</v>
      </c>
      <c r="B75" s="8">
        <v>46082.0</v>
      </c>
      <c r="C75" s="7">
        <v>46082.0</v>
      </c>
      <c r="D75" s="3" t="s">
        <v>49</v>
      </c>
      <c r="E75" s="3" t="s">
        <v>103</v>
      </c>
      <c r="F75" s="3" t="s">
        <v>112</v>
      </c>
      <c r="G75" s="3" t="s">
        <v>71</v>
      </c>
      <c r="H75" s="3">
        <v>142825.0</v>
      </c>
      <c r="I75" s="3">
        <v>733.25</v>
      </c>
      <c r="J75" s="3">
        <v>148426.0</v>
      </c>
      <c r="K75" s="3">
        <v>5.13390513</v>
      </c>
    </row>
    <row r="76" ht="15.75" customHeight="1">
      <c r="A76" s="3" t="s">
        <v>17</v>
      </c>
      <c r="B76" s="8">
        <v>46082.0</v>
      </c>
      <c r="C76" s="7">
        <v>46082.0</v>
      </c>
      <c r="D76" s="3" t="s">
        <v>45</v>
      </c>
      <c r="E76" s="3" t="s">
        <v>103</v>
      </c>
      <c r="F76" s="3" t="s">
        <v>111</v>
      </c>
      <c r="G76" s="3" t="s">
        <v>68</v>
      </c>
      <c r="H76" s="3">
        <v>475.0</v>
      </c>
      <c r="I76" s="3">
        <v>325.75</v>
      </c>
      <c r="J76" s="3">
        <v>12734.0</v>
      </c>
      <c r="K76" s="3">
        <v>0.68578947</v>
      </c>
    </row>
    <row r="77" ht="15.75" customHeight="1">
      <c r="A77" s="3" t="s">
        <v>17</v>
      </c>
      <c r="B77" s="8">
        <v>46082.0</v>
      </c>
      <c r="C77" s="7">
        <v>46082.0</v>
      </c>
      <c r="D77" s="3" t="s">
        <v>49</v>
      </c>
      <c r="E77" s="3" t="s">
        <v>103</v>
      </c>
      <c r="F77" s="3" t="s">
        <v>112</v>
      </c>
      <c r="G77" s="3" t="s">
        <v>71</v>
      </c>
      <c r="H77" s="3">
        <v>146019.0</v>
      </c>
      <c r="I77" s="3">
        <v>733.25</v>
      </c>
      <c r="J77" s="3">
        <v>146678.0</v>
      </c>
      <c r="K77" s="3">
        <v>5.02160678</v>
      </c>
    </row>
    <row r="78" ht="15.75" customHeight="1">
      <c r="A78" s="3" t="s">
        <v>17</v>
      </c>
      <c r="B78" s="8">
        <v>46113.0</v>
      </c>
      <c r="C78" s="7">
        <v>46113.0</v>
      </c>
      <c r="D78" s="3" t="s">
        <v>49</v>
      </c>
      <c r="E78" s="3" t="s">
        <v>103</v>
      </c>
      <c r="F78" s="3" t="s">
        <v>113</v>
      </c>
      <c r="G78" s="3" t="s">
        <v>71</v>
      </c>
      <c r="H78" s="3">
        <v>449427.0</v>
      </c>
      <c r="I78" s="3">
        <v>2432.92</v>
      </c>
      <c r="J78" s="3">
        <v>466761.0</v>
      </c>
      <c r="K78" s="3">
        <v>5.41338193</v>
      </c>
    </row>
    <row r="79" ht="15.75" customHeight="1">
      <c r="A79" s="3" t="s">
        <v>17</v>
      </c>
      <c r="B79" s="8">
        <v>46113.0</v>
      </c>
      <c r="C79" s="7">
        <v>46113.0</v>
      </c>
      <c r="D79" s="3" t="s">
        <v>45</v>
      </c>
      <c r="E79" s="3" t="s">
        <v>103</v>
      </c>
      <c r="F79" s="3" t="s">
        <v>114</v>
      </c>
      <c r="G79" s="3" t="s">
        <v>68</v>
      </c>
      <c r="H79" s="3">
        <v>1208.0</v>
      </c>
      <c r="I79" s="3">
        <v>1143.72</v>
      </c>
      <c r="J79" s="3">
        <v>76613.0</v>
      </c>
      <c r="K79" s="3">
        <v>0.94678808</v>
      </c>
    </row>
    <row r="80" ht="15.75" customHeight="1">
      <c r="A80" s="3" t="s">
        <v>17</v>
      </c>
      <c r="B80" s="8">
        <v>46143.0</v>
      </c>
      <c r="C80" s="7">
        <v>46143.0</v>
      </c>
      <c r="D80" s="3" t="s">
        <v>49</v>
      </c>
      <c r="E80" s="3" t="s">
        <v>115</v>
      </c>
      <c r="F80" s="3" t="s">
        <v>116</v>
      </c>
      <c r="G80" s="3" t="s">
        <v>71</v>
      </c>
      <c r="H80" s="3">
        <v>290117.0</v>
      </c>
      <c r="I80" s="3">
        <v>2932.52</v>
      </c>
      <c r="J80" s="3">
        <v>605566.0</v>
      </c>
      <c r="K80" s="3">
        <v>10.10805985</v>
      </c>
    </row>
    <row r="81" ht="15.75" customHeight="1">
      <c r="A81" s="3" t="s">
        <v>17</v>
      </c>
      <c r="B81" s="8">
        <v>46143.0</v>
      </c>
      <c r="C81" s="7">
        <v>46143.0</v>
      </c>
      <c r="D81" s="3" t="s">
        <v>45</v>
      </c>
      <c r="E81" s="3" t="s">
        <v>115</v>
      </c>
      <c r="F81" s="3" t="s">
        <v>117</v>
      </c>
      <c r="G81" s="3" t="s">
        <v>68</v>
      </c>
      <c r="H81" s="3">
        <v>19699.0</v>
      </c>
      <c r="I81" s="3">
        <v>1302.6</v>
      </c>
      <c r="J81" s="3">
        <v>62744.0</v>
      </c>
      <c r="K81" s="3">
        <v>0.06612518</v>
      </c>
    </row>
    <row r="82" ht="15.75" customHeight="1">
      <c r="A82" s="3" t="s">
        <v>17</v>
      </c>
      <c r="B82" s="8">
        <v>46143.0</v>
      </c>
      <c r="C82" s="7">
        <v>46143.0</v>
      </c>
      <c r="D82" s="3" t="s">
        <v>45</v>
      </c>
      <c r="E82" s="3" t="s">
        <v>103</v>
      </c>
      <c r="F82" s="3" t="s">
        <v>114</v>
      </c>
      <c r="G82" s="3" t="s">
        <v>68</v>
      </c>
      <c r="H82" s="3">
        <v>184.0</v>
      </c>
      <c r="I82" s="3">
        <v>159.2</v>
      </c>
      <c r="J82" s="3">
        <v>6843.0</v>
      </c>
      <c r="K82" s="3">
        <v>0.86521739</v>
      </c>
    </row>
    <row r="83" ht="15.75" customHeight="1">
      <c r="A83" s="3" t="s">
        <v>17</v>
      </c>
      <c r="B83" s="8">
        <v>46143.0</v>
      </c>
      <c r="C83" s="7">
        <v>46143.0</v>
      </c>
      <c r="D83" s="3" t="s">
        <v>49</v>
      </c>
      <c r="E83" s="3" t="s">
        <v>103</v>
      </c>
      <c r="F83" s="3" t="s">
        <v>113</v>
      </c>
      <c r="G83" s="3" t="s">
        <v>71</v>
      </c>
      <c r="H83" s="3">
        <v>109614.0</v>
      </c>
      <c r="I83" s="3">
        <v>499.79</v>
      </c>
      <c r="J83" s="3">
        <v>109614.0</v>
      </c>
      <c r="K83" s="3">
        <v>4.55954531</v>
      </c>
    </row>
    <row r="84" ht="15.75" customHeight="1">
      <c r="A84" s="3" t="s">
        <v>17</v>
      </c>
      <c r="B84" s="8">
        <v>46174.0</v>
      </c>
      <c r="C84" s="7">
        <v>46174.0</v>
      </c>
      <c r="D84" s="3" t="s">
        <v>49</v>
      </c>
      <c r="E84" s="3" t="s">
        <v>115</v>
      </c>
      <c r="F84" s="3" t="s">
        <v>116</v>
      </c>
      <c r="G84" s="3" t="s">
        <v>71</v>
      </c>
      <c r="H84" s="3">
        <v>2065780.0</v>
      </c>
      <c r="I84" s="3">
        <v>23489.78</v>
      </c>
      <c r="J84" s="3">
        <v>2309014.0</v>
      </c>
      <c r="K84" s="3">
        <v>11.37090106</v>
      </c>
    </row>
    <row r="85" ht="15.75" customHeight="1">
      <c r="A85" s="3" t="s">
        <v>17</v>
      </c>
      <c r="B85" s="8">
        <v>46174.0</v>
      </c>
      <c r="C85" s="7">
        <v>46174.0</v>
      </c>
      <c r="D85" s="3" t="s">
        <v>45</v>
      </c>
      <c r="E85" s="3" t="s">
        <v>118</v>
      </c>
      <c r="F85" s="3" t="s">
        <v>119</v>
      </c>
      <c r="G85" s="3" t="s">
        <v>68</v>
      </c>
      <c r="H85" s="3">
        <v>24543.0</v>
      </c>
      <c r="I85" s="3">
        <v>26641.13</v>
      </c>
      <c r="J85" s="3">
        <v>1447086.0</v>
      </c>
      <c r="K85" s="3">
        <v>1.08548792</v>
      </c>
    </row>
    <row r="86" ht="15.75" customHeight="1">
      <c r="A86" s="3" t="s">
        <v>17</v>
      </c>
      <c r="B86" s="8">
        <v>46174.0</v>
      </c>
      <c r="C86" s="7">
        <v>46174.0</v>
      </c>
      <c r="D86" s="3" t="s">
        <v>49</v>
      </c>
      <c r="E86" s="3" t="s">
        <v>115</v>
      </c>
      <c r="F86" s="3" t="s">
        <v>116</v>
      </c>
      <c r="G86" s="3" t="s">
        <v>71</v>
      </c>
      <c r="H86" s="3">
        <v>2272674.0</v>
      </c>
      <c r="I86" s="3">
        <v>29462.33</v>
      </c>
      <c r="J86" s="3">
        <v>3785998.0</v>
      </c>
      <c r="K86" s="3">
        <v>12.96372907</v>
      </c>
    </row>
    <row r="87" ht="15.75" customHeight="1">
      <c r="A87" s="3" t="s">
        <v>17</v>
      </c>
      <c r="B87" s="8">
        <v>46174.0</v>
      </c>
      <c r="C87" s="7">
        <v>46174.0</v>
      </c>
      <c r="D87" s="3" t="s">
        <v>45</v>
      </c>
      <c r="E87" s="3" t="s">
        <v>115</v>
      </c>
      <c r="F87" s="3" t="s">
        <v>117</v>
      </c>
      <c r="G87" s="3" t="s">
        <v>68</v>
      </c>
      <c r="H87" s="3">
        <v>178105.0</v>
      </c>
      <c r="I87" s="3">
        <v>14701.76</v>
      </c>
      <c r="J87" s="3">
        <v>733573.0</v>
      </c>
      <c r="K87" s="3">
        <v>0.08254546</v>
      </c>
    </row>
    <row r="88" ht="15.75" customHeight="1">
      <c r="A88" s="3" t="s">
        <v>17</v>
      </c>
      <c r="B88" s="8">
        <v>46204.0</v>
      </c>
      <c r="C88" s="7">
        <v>46204.0</v>
      </c>
      <c r="D88" s="3" t="s">
        <v>49</v>
      </c>
      <c r="E88" s="3" t="s">
        <v>115</v>
      </c>
      <c r="F88" s="3" t="s">
        <v>116</v>
      </c>
      <c r="G88" s="3" t="s">
        <v>71</v>
      </c>
      <c r="H88" s="3">
        <v>2968244.0</v>
      </c>
      <c r="I88" s="3">
        <v>35404.63</v>
      </c>
      <c r="J88" s="3">
        <v>6413624.0</v>
      </c>
      <c r="K88" s="3">
        <v>11.92780311</v>
      </c>
    </row>
    <row r="89" ht="15.75" customHeight="1">
      <c r="A89" s="3" t="s">
        <v>17</v>
      </c>
      <c r="B89" s="8">
        <v>46204.0</v>
      </c>
      <c r="C89" s="7">
        <v>46204.0</v>
      </c>
      <c r="D89" s="3" t="s">
        <v>45</v>
      </c>
      <c r="E89" s="3" t="s">
        <v>115</v>
      </c>
      <c r="F89" s="3" t="s">
        <v>117</v>
      </c>
      <c r="G89" s="3" t="s">
        <v>68</v>
      </c>
      <c r="H89" s="3">
        <v>349967.0</v>
      </c>
      <c r="I89" s="3">
        <v>14523.55</v>
      </c>
      <c r="J89" s="3">
        <v>1242438.0</v>
      </c>
      <c r="K89" s="3">
        <v>0.04149977</v>
      </c>
    </row>
    <row r="90" ht="15.75" customHeight="1">
      <c r="A90" s="3" t="s">
        <v>17</v>
      </c>
      <c r="B90" s="8">
        <v>46235.0</v>
      </c>
      <c r="C90" s="7">
        <v>46235.0</v>
      </c>
      <c r="D90" s="3" t="s">
        <v>45</v>
      </c>
      <c r="E90" s="3" t="s">
        <v>103</v>
      </c>
      <c r="F90" s="3" t="s">
        <v>126</v>
      </c>
      <c r="G90" s="3" t="s">
        <v>68</v>
      </c>
      <c r="H90" s="3">
        <v>7350.0</v>
      </c>
      <c r="I90" s="3">
        <v>1799.37</v>
      </c>
      <c r="J90" s="3">
        <v>104014.0</v>
      </c>
      <c r="K90" s="3">
        <v>0.24481224</v>
      </c>
    </row>
    <row r="91" ht="15.75" customHeight="1">
      <c r="A91" s="3" t="s">
        <v>17</v>
      </c>
      <c r="B91" s="8">
        <v>46235.0</v>
      </c>
      <c r="C91" s="7">
        <v>46235.0</v>
      </c>
      <c r="D91" s="3" t="s">
        <v>49</v>
      </c>
      <c r="E91" s="3" t="s">
        <v>103</v>
      </c>
      <c r="F91" s="3" t="s">
        <v>129</v>
      </c>
      <c r="G91" s="3" t="s">
        <v>71</v>
      </c>
      <c r="H91" s="3">
        <v>406208.0</v>
      </c>
      <c r="I91" s="3">
        <v>4049.65</v>
      </c>
      <c r="J91" s="3">
        <v>858472.0</v>
      </c>
      <c r="K91" s="3">
        <v>9.96939991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4.0"/>
    <col customWidth="1" min="4" max="4" width="12.0"/>
    <col customWidth="1" min="5" max="5" width="14.0"/>
    <col customWidth="1" min="6" max="6" width="19.0"/>
    <col customWidth="1" min="7" max="7" width="15.0"/>
    <col customWidth="1" min="8" max="26" width="8.71"/>
  </cols>
  <sheetData>
    <row r="1">
      <c r="A1" s="1" t="s">
        <v>0</v>
      </c>
      <c r="B1" s="1" t="s">
        <v>3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>
      <c r="A2" s="2" t="s">
        <v>17</v>
      </c>
      <c r="B2" s="2" t="s">
        <v>25</v>
      </c>
      <c r="C2" s="2">
        <v>100.0</v>
      </c>
      <c r="D2" s="2">
        <v>0.0</v>
      </c>
      <c r="E2" s="2">
        <v>0.0</v>
      </c>
      <c r="G2" s="2" t="s">
        <v>82</v>
      </c>
    </row>
    <row r="3">
      <c r="A3" s="2" t="s">
        <v>17</v>
      </c>
      <c r="B3" s="2" t="s">
        <v>27</v>
      </c>
      <c r="C3" s="2">
        <v>95.0</v>
      </c>
      <c r="D3" s="2">
        <v>5.0</v>
      </c>
      <c r="E3" s="2">
        <v>0.0</v>
      </c>
      <c r="G3" s="2" t="s">
        <v>83</v>
      </c>
    </row>
    <row r="4">
      <c r="A4" s="2" t="s">
        <v>17</v>
      </c>
      <c r="B4" s="2" t="s">
        <v>38</v>
      </c>
      <c r="C4" s="2">
        <v>85.0</v>
      </c>
      <c r="D4" s="2">
        <v>10.0</v>
      </c>
      <c r="E4" s="2">
        <v>5.0</v>
      </c>
      <c r="G4" s="2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2.0"/>
    <col customWidth="1" min="7" max="7" width="15.0"/>
    <col customWidth="1" min="8" max="8" width="16.0"/>
    <col customWidth="1" min="9" max="9" width="17.0"/>
    <col customWidth="1" min="10" max="10" width="13.0"/>
    <col customWidth="1" min="11" max="26" width="8.71"/>
  </cols>
  <sheetData>
    <row r="1">
      <c r="A1" s="1" t="s">
        <v>0</v>
      </c>
      <c r="B1" s="1" t="s">
        <v>3</v>
      </c>
      <c r="C1" s="1" t="s">
        <v>85</v>
      </c>
      <c r="D1" s="1" t="s">
        <v>86</v>
      </c>
      <c r="E1" s="1" t="s">
        <v>4</v>
      </c>
      <c r="F1" s="1" t="s">
        <v>87</v>
      </c>
      <c r="G1" s="1" t="s">
        <v>8</v>
      </c>
      <c r="H1" s="1" t="s">
        <v>88</v>
      </c>
      <c r="I1" s="1" t="s">
        <v>89</v>
      </c>
      <c r="J1" s="1" t="s">
        <v>90</v>
      </c>
    </row>
    <row r="2">
      <c r="A2" s="2" t="s">
        <v>17</v>
      </c>
      <c r="B2" s="2" t="s">
        <v>25</v>
      </c>
      <c r="C2" s="2" t="s">
        <v>91</v>
      </c>
      <c r="D2" s="2" t="s">
        <v>45</v>
      </c>
      <c r="E2" s="2">
        <v>8396.0</v>
      </c>
      <c r="F2" s="2">
        <v>4.0</v>
      </c>
      <c r="G2" s="2">
        <v>1284.0</v>
      </c>
      <c r="H2" s="2">
        <v>15.69</v>
      </c>
    </row>
    <row r="3">
      <c r="A3" s="2" t="s">
        <v>17</v>
      </c>
      <c r="B3" s="2" t="s">
        <v>25</v>
      </c>
      <c r="C3" s="2" t="s">
        <v>92</v>
      </c>
      <c r="D3" s="2" t="s">
        <v>45</v>
      </c>
      <c r="E3" s="2">
        <v>253400.0</v>
      </c>
      <c r="F3" s="2">
        <v>19.0</v>
      </c>
      <c r="G3" s="2">
        <v>19400.0</v>
      </c>
      <c r="H3" s="2">
        <v>0.05</v>
      </c>
    </row>
    <row r="4">
      <c r="A4" s="2" t="s">
        <v>17</v>
      </c>
      <c r="B4" s="2" t="s">
        <v>25</v>
      </c>
      <c r="C4" s="2" t="s">
        <v>93</v>
      </c>
      <c r="D4" s="2" t="s">
        <v>45</v>
      </c>
      <c r="E4" s="2">
        <v>497857.0</v>
      </c>
      <c r="F4" s="2">
        <v>16.0</v>
      </c>
      <c r="G4" s="2">
        <v>66700.0</v>
      </c>
      <c r="H4" s="2">
        <v>0.56</v>
      </c>
    </row>
    <row r="5">
      <c r="A5" s="2" t="s">
        <v>17</v>
      </c>
      <c r="B5" s="2" t="s">
        <v>27</v>
      </c>
      <c r="C5" s="2" t="s">
        <v>94</v>
      </c>
      <c r="D5" s="2" t="s">
        <v>45</v>
      </c>
      <c r="E5" s="2">
        <v>8360.0</v>
      </c>
      <c r="F5" s="2">
        <v>4.0</v>
      </c>
      <c r="G5" s="2">
        <v>1013.0</v>
      </c>
      <c r="H5" s="2">
        <v>2.88</v>
      </c>
    </row>
    <row r="6">
      <c r="A6" s="2" t="s">
        <v>17</v>
      </c>
      <c r="B6" s="2" t="s">
        <v>27</v>
      </c>
      <c r="C6" s="2" t="s">
        <v>93</v>
      </c>
      <c r="D6" s="2" t="s">
        <v>45</v>
      </c>
      <c r="E6" s="2">
        <v>498863.0</v>
      </c>
      <c r="F6" s="2">
        <v>15.0</v>
      </c>
      <c r="G6" s="2">
        <v>0.0</v>
      </c>
      <c r="H6" s="2">
        <v>0.41</v>
      </c>
    </row>
    <row r="7">
      <c r="A7" s="2" t="s">
        <v>17</v>
      </c>
      <c r="B7" s="2" t="s">
        <v>27</v>
      </c>
      <c r="C7" s="2" t="s">
        <v>95</v>
      </c>
      <c r="D7" s="2" t="s">
        <v>45</v>
      </c>
      <c r="E7" s="2">
        <v>263035.0</v>
      </c>
      <c r="F7" s="2">
        <v>12.0</v>
      </c>
      <c r="G7" s="2">
        <v>0.0</v>
      </c>
      <c r="H7" s="2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3.0"/>
    <col customWidth="1" min="6" max="6" width="15.0"/>
    <col customWidth="1" min="7" max="9" width="12.0"/>
    <col customWidth="1" min="10" max="26" width="8.71"/>
  </cols>
  <sheetData>
    <row r="1">
      <c r="A1" s="1" t="s">
        <v>0</v>
      </c>
      <c r="B1" s="1" t="s">
        <v>3</v>
      </c>
      <c r="C1" s="1" t="s">
        <v>60</v>
      </c>
      <c r="D1" s="1" t="s">
        <v>97</v>
      </c>
      <c r="E1" s="1" t="s">
        <v>43</v>
      </c>
      <c r="F1" s="1" t="s">
        <v>8</v>
      </c>
      <c r="G1" s="1" t="s">
        <v>5</v>
      </c>
      <c r="H1" s="1" t="s">
        <v>99</v>
      </c>
      <c r="I1" s="1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12.0"/>
    <col customWidth="1" min="4" max="4" width="16.0"/>
    <col customWidth="1" min="5" max="5" width="12.0"/>
    <col customWidth="1" min="6" max="6" width="14.0"/>
    <col customWidth="1" min="7" max="8" width="12.0"/>
    <col customWidth="1" min="9" max="9" width="14.0"/>
    <col customWidth="1" min="10" max="11" width="12.0"/>
    <col customWidth="1" min="12" max="13" width="13.0"/>
    <col customWidth="1" min="14" max="14" width="12.0"/>
    <col customWidth="1" min="15" max="26" width="8.71"/>
  </cols>
  <sheetData>
    <row r="1">
      <c r="A1" s="1" t="s">
        <v>0</v>
      </c>
      <c r="B1" s="1" t="s">
        <v>120</v>
      </c>
      <c r="C1" s="1" t="s">
        <v>3</v>
      </c>
      <c r="D1" s="1" t="s">
        <v>62</v>
      </c>
      <c r="E1" s="1" t="s">
        <v>60</v>
      </c>
      <c r="F1" s="1" t="s">
        <v>61</v>
      </c>
      <c r="G1" s="1" t="s">
        <v>121</v>
      </c>
      <c r="H1" s="1" t="s">
        <v>122</v>
      </c>
      <c r="I1" s="1" t="s">
        <v>123</v>
      </c>
      <c r="J1" s="1" t="s">
        <v>124</v>
      </c>
      <c r="K1" s="9" t="s">
        <v>125</v>
      </c>
      <c r="L1" s="9" t="s">
        <v>127</v>
      </c>
      <c r="M1" s="9" t="s">
        <v>90</v>
      </c>
      <c r="N1" s="9" t="s">
        <v>128</v>
      </c>
    </row>
    <row r="2">
      <c r="A2" s="10" t="s">
        <v>17</v>
      </c>
      <c r="B2" s="11" t="s">
        <v>130</v>
      </c>
      <c r="C2" s="12">
        <v>46054.0</v>
      </c>
      <c r="D2" s="10" t="s">
        <v>103</v>
      </c>
      <c r="E2" s="10" t="s">
        <v>131</v>
      </c>
      <c r="F2" s="10" t="s">
        <v>103</v>
      </c>
      <c r="G2" s="10" t="s">
        <v>68</v>
      </c>
      <c r="H2" s="10" t="s">
        <v>68</v>
      </c>
      <c r="I2" s="13"/>
      <c r="J2" s="13"/>
      <c r="K2" s="14">
        <v>555.56</v>
      </c>
      <c r="L2" s="14">
        <v>800.0</v>
      </c>
      <c r="M2" s="15"/>
      <c r="N2" s="14">
        <v>1.44</v>
      </c>
    </row>
    <row r="3">
      <c r="A3" s="10" t="s">
        <v>17</v>
      </c>
      <c r="B3" s="11" t="s">
        <v>130</v>
      </c>
      <c r="C3" s="12">
        <v>46054.0</v>
      </c>
      <c r="D3" s="10" t="s">
        <v>103</v>
      </c>
      <c r="E3" s="10" t="s">
        <v>132</v>
      </c>
      <c r="F3" s="10" t="s">
        <v>103</v>
      </c>
      <c r="G3" s="10" t="s">
        <v>71</v>
      </c>
      <c r="H3" s="10" t="s">
        <v>71</v>
      </c>
      <c r="I3" s="13"/>
      <c r="J3" s="13"/>
      <c r="K3" s="14">
        <v>36952.38</v>
      </c>
      <c r="L3" s="14">
        <v>1552.0</v>
      </c>
      <c r="M3" s="15"/>
      <c r="N3" s="14">
        <v>14.0</v>
      </c>
    </row>
    <row r="4">
      <c r="A4" s="10" t="s">
        <v>17</v>
      </c>
      <c r="B4" s="11" t="s">
        <v>130</v>
      </c>
      <c r="C4" s="12">
        <v>46054.0</v>
      </c>
      <c r="D4" s="10" t="s">
        <v>103</v>
      </c>
      <c r="E4" s="10" t="s">
        <v>133</v>
      </c>
      <c r="F4" s="10" t="s">
        <v>103</v>
      </c>
      <c r="G4" s="10" t="s">
        <v>134</v>
      </c>
      <c r="H4" s="10" t="s">
        <v>134</v>
      </c>
      <c r="I4" s="13"/>
      <c r="J4" s="13"/>
      <c r="K4" s="14">
        <v>7857.14</v>
      </c>
      <c r="L4" s="14">
        <v>1100.0</v>
      </c>
      <c r="M4" s="15"/>
      <c r="N4" s="14">
        <v>0.14</v>
      </c>
    </row>
    <row r="5">
      <c r="A5" s="10" t="s">
        <v>17</v>
      </c>
      <c r="B5" s="11" t="s">
        <v>130</v>
      </c>
      <c r="C5" s="12">
        <v>46082.0</v>
      </c>
      <c r="D5" s="10" t="s">
        <v>103</v>
      </c>
      <c r="E5" s="10" t="s">
        <v>131</v>
      </c>
      <c r="F5" s="10" t="s">
        <v>103</v>
      </c>
      <c r="G5" s="10" t="s">
        <v>68</v>
      </c>
      <c r="H5" s="10" t="s">
        <v>68</v>
      </c>
      <c r="I5" s="13"/>
      <c r="J5" s="13"/>
      <c r="K5" s="14">
        <v>904.86</v>
      </c>
      <c r="L5" s="14">
        <v>1303.0</v>
      </c>
      <c r="M5" s="15"/>
      <c r="N5" s="14">
        <v>1.44</v>
      </c>
    </row>
    <row r="6">
      <c r="A6" s="10" t="s">
        <v>17</v>
      </c>
      <c r="B6" s="11" t="s">
        <v>130</v>
      </c>
      <c r="C6" s="12">
        <v>46082.0</v>
      </c>
      <c r="D6" s="10" t="s">
        <v>103</v>
      </c>
      <c r="E6" s="10" t="s">
        <v>132</v>
      </c>
      <c r="F6" s="10" t="s">
        <v>103</v>
      </c>
      <c r="G6" s="10" t="s">
        <v>71</v>
      </c>
      <c r="H6" s="10" t="s">
        <v>71</v>
      </c>
      <c r="I6" s="13"/>
      <c r="J6" s="13"/>
      <c r="K6" s="14">
        <v>69833.33</v>
      </c>
      <c r="L6" s="14">
        <v>2933.0</v>
      </c>
      <c r="M6" s="15"/>
      <c r="N6" s="14">
        <v>14.0</v>
      </c>
    </row>
    <row r="7">
      <c r="A7" s="10" t="s">
        <v>17</v>
      </c>
      <c r="B7" s="11" t="s">
        <v>130</v>
      </c>
      <c r="C7" s="12">
        <v>46082.0</v>
      </c>
      <c r="D7" s="10" t="s">
        <v>103</v>
      </c>
      <c r="E7" s="10" t="s">
        <v>133</v>
      </c>
      <c r="F7" s="10" t="s">
        <v>103</v>
      </c>
      <c r="G7" s="10" t="s">
        <v>134</v>
      </c>
      <c r="H7" s="10" t="s">
        <v>134</v>
      </c>
      <c r="I7" s="13"/>
      <c r="J7" s="13"/>
      <c r="K7" s="14">
        <v>16292.86</v>
      </c>
      <c r="L7" s="14">
        <v>2281.0</v>
      </c>
      <c r="M7" s="15"/>
      <c r="N7" s="14">
        <v>0.14</v>
      </c>
    </row>
    <row r="8">
      <c r="A8" s="10" t="s">
        <v>17</v>
      </c>
      <c r="B8" s="11" t="s">
        <v>130</v>
      </c>
      <c r="C8" s="12">
        <v>46113.0</v>
      </c>
      <c r="D8" s="10" t="s">
        <v>103</v>
      </c>
      <c r="E8" s="10" t="s">
        <v>131</v>
      </c>
      <c r="F8" s="10" t="s">
        <v>103</v>
      </c>
      <c r="G8" s="10" t="s">
        <v>68</v>
      </c>
      <c r="H8" s="10" t="s">
        <v>68</v>
      </c>
      <c r="I8" s="13"/>
      <c r="J8" s="13"/>
      <c r="K8" s="14">
        <v>904.86</v>
      </c>
      <c r="L8" s="14">
        <v>1303.0</v>
      </c>
      <c r="M8" s="15"/>
      <c r="N8" s="14">
        <v>1.44</v>
      </c>
    </row>
    <row r="9">
      <c r="A9" s="10" t="s">
        <v>17</v>
      </c>
      <c r="B9" s="11" t="s">
        <v>130</v>
      </c>
      <c r="C9" s="12">
        <v>46113.0</v>
      </c>
      <c r="D9" s="10" t="s">
        <v>103</v>
      </c>
      <c r="E9" s="10" t="s">
        <v>132</v>
      </c>
      <c r="F9" s="10" t="s">
        <v>103</v>
      </c>
      <c r="G9" s="10" t="s">
        <v>71</v>
      </c>
      <c r="H9" s="10" t="s">
        <v>71</v>
      </c>
      <c r="I9" s="13"/>
      <c r="J9" s="13"/>
      <c r="K9" s="14">
        <v>69833.33</v>
      </c>
      <c r="L9" s="14">
        <v>2933.0</v>
      </c>
      <c r="M9" s="15"/>
      <c r="N9" s="14">
        <v>14.0</v>
      </c>
    </row>
    <row r="10">
      <c r="A10" s="10" t="s">
        <v>17</v>
      </c>
      <c r="B10" s="11" t="s">
        <v>130</v>
      </c>
      <c r="C10" s="12">
        <v>46113.0</v>
      </c>
      <c r="D10" s="10" t="s">
        <v>103</v>
      </c>
      <c r="E10" s="10" t="s">
        <v>133</v>
      </c>
      <c r="F10" s="10" t="s">
        <v>103</v>
      </c>
      <c r="G10" s="10" t="s">
        <v>134</v>
      </c>
      <c r="H10" s="10" t="s">
        <v>134</v>
      </c>
      <c r="I10" s="13"/>
      <c r="J10" s="13"/>
      <c r="K10" s="14">
        <v>16292.86</v>
      </c>
      <c r="L10" s="14">
        <v>2281.0</v>
      </c>
      <c r="M10" s="15"/>
      <c r="N10" s="14">
        <v>0.14</v>
      </c>
    </row>
    <row r="11">
      <c r="A11" s="10" t="s">
        <v>17</v>
      </c>
      <c r="B11" s="11" t="s">
        <v>130</v>
      </c>
      <c r="C11" s="12">
        <v>46235.0</v>
      </c>
      <c r="D11" s="10" t="s">
        <v>103</v>
      </c>
      <c r="E11" s="10" t="s">
        <v>131</v>
      </c>
      <c r="F11" s="10" t="s">
        <v>103</v>
      </c>
      <c r="G11" s="10" t="s">
        <v>68</v>
      </c>
      <c r="H11" s="10" t="s">
        <v>68</v>
      </c>
      <c r="I11" s="13"/>
      <c r="J11" s="13"/>
      <c r="K11" s="14">
        <v>2686.57</v>
      </c>
      <c r="L11" s="14">
        <v>1800.0</v>
      </c>
      <c r="M11" s="15"/>
      <c r="N11" s="14">
        <v>0.67</v>
      </c>
    </row>
    <row r="12">
      <c r="A12" s="10" t="s">
        <v>17</v>
      </c>
      <c r="B12" s="11" t="s">
        <v>130</v>
      </c>
      <c r="C12" s="12">
        <v>46235.0</v>
      </c>
      <c r="D12" s="10" t="s">
        <v>103</v>
      </c>
      <c r="E12" s="10" t="s">
        <v>132</v>
      </c>
      <c r="F12" s="10" t="s">
        <v>103</v>
      </c>
      <c r="G12" s="10" t="s">
        <v>71</v>
      </c>
      <c r="H12" s="10" t="s">
        <v>71</v>
      </c>
      <c r="I12" s="13"/>
      <c r="J12" s="13"/>
      <c r="K12" s="14">
        <v>176701.57</v>
      </c>
      <c r="L12" s="14">
        <v>4050.0</v>
      </c>
      <c r="M12" s="15"/>
      <c r="N12" s="14">
        <v>7.64</v>
      </c>
    </row>
    <row r="13">
      <c r="A13" s="10" t="s">
        <v>17</v>
      </c>
      <c r="B13" s="11" t="s">
        <v>130</v>
      </c>
      <c r="C13" s="12">
        <v>46235.0</v>
      </c>
      <c r="D13" s="10" t="s">
        <v>103</v>
      </c>
      <c r="E13" s="10" t="s">
        <v>133</v>
      </c>
      <c r="F13" s="10" t="s">
        <v>103</v>
      </c>
      <c r="G13" s="10" t="s">
        <v>134</v>
      </c>
      <c r="H13" s="10" t="s">
        <v>134</v>
      </c>
      <c r="I13" s="13"/>
      <c r="J13" s="13"/>
      <c r="K13" s="14">
        <v>78750.0</v>
      </c>
      <c r="L13" s="14">
        <v>3150.0</v>
      </c>
      <c r="M13" s="15"/>
      <c r="N13" s="14">
        <v>0.04</v>
      </c>
    </row>
    <row r="14">
      <c r="A14" s="10" t="s">
        <v>17</v>
      </c>
      <c r="B14" s="16" t="s">
        <v>135</v>
      </c>
      <c r="C14" s="13"/>
      <c r="D14" s="10" t="s">
        <v>106</v>
      </c>
      <c r="E14" s="10" t="s">
        <v>131</v>
      </c>
      <c r="F14" s="10" t="s">
        <v>106</v>
      </c>
      <c r="G14" s="10" t="s">
        <v>68</v>
      </c>
      <c r="H14" s="10" t="s">
        <v>68</v>
      </c>
      <c r="I14" s="17">
        <v>46023.0</v>
      </c>
      <c r="J14" s="17">
        <v>46068.0</v>
      </c>
      <c r="K14" s="14">
        <v>15750.0</v>
      </c>
      <c r="L14" s="14">
        <v>22680.0</v>
      </c>
      <c r="M14" s="15"/>
      <c r="N14" s="14">
        <v>1.44</v>
      </c>
    </row>
    <row r="15">
      <c r="A15" s="10" t="s">
        <v>17</v>
      </c>
      <c r="B15" s="16" t="s">
        <v>135</v>
      </c>
      <c r="C15" s="13"/>
      <c r="D15" s="10" t="s">
        <v>106</v>
      </c>
      <c r="E15" s="10" t="s">
        <v>132</v>
      </c>
      <c r="F15" s="10" t="s">
        <v>106</v>
      </c>
      <c r="G15" s="10" t="s">
        <v>71</v>
      </c>
      <c r="H15" s="10" t="s">
        <v>71</v>
      </c>
      <c r="I15" s="17">
        <v>46023.0</v>
      </c>
      <c r="J15" s="17">
        <v>46068.0</v>
      </c>
      <c r="K15" s="14">
        <v>642857.14</v>
      </c>
      <c r="L15" s="14">
        <v>27000.0</v>
      </c>
      <c r="M15" s="15"/>
      <c r="N15" s="14">
        <v>14.0</v>
      </c>
    </row>
    <row r="16">
      <c r="A16" s="10" t="s">
        <v>17</v>
      </c>
      <c r="B16" s="16" t="s">
        <v>135</v>
      </c>
      <c r="C16" s="13"/>
      <c r="D16" s="10" t="s">
        <v>106</v>
      </c>
      <c r="E16" s="10" t="s">
        <v>133</v>
      </c>
      <c r="F16" s="10" t="s">
        <v>106</v>
      </c>
      <c r="G16" s="10" t="s">
        <v>134</v>
      </c>
      <c r="H16" s="10" t="s">
        <v>134</v>
      </c>
      <c r="I16" s="17">
        <v>46023.0</v>
      </c>
      <c r="J16" s="17">
        <v>46068.0</v>
      </c>
      <c r="K16" s="14">
        <v>359428.57</v>
      </c>
      <c r="L16" s="14">
        <v>50320.0</v>
      </c>
      <c r="M16" s="15"/>
      <c r="N16" s="14">
        <v>0.14</v>
      </c>
    </row>
    <row r="17">
      <c r="A17" s="10" t="s">
        <v>17</v>
      </c>
      <c r="B17" s="16" t="s">
        <v>135</v>
      </c>
      <c r="C17" s="13"/>
      <c r="D17" s="10" t="s">
        <v>136</v>
      </c>
      <c r="E17" s="10" t="s">
        <v>131</v>
      </c>
      <c r="F17" s="10" t="s">
        <v>136</v>
      </c>
      <c r="G17" s="10" t="s">
        <v>68</v>
      </c>
      <c r="H17" s="10" t="s">
        <v>68</v>
      </c>
      <c r="I17" s="17">
        <v>46179.0</v>
      </c>
      <c r="J17" s="17">
        <v>46221.0</v>
      </c>
      <c r="K17" s="14">
        <v>24305.56</v>
      </c>
      <c r="L17" s="14">
        <v>35000.0</v>
      </c>
      <c r="M17" s="15"/>
      <c r="N17" s="14">
        <v>1.44</v>
      </c>
    </row>
    <row r="18">
      <c r="A18" s="10" t="s">
        <v>17</v>
      </c>
      <c r="B18" s="16" t="s">
        <v>135</v>
      </c>
      <c r="C18" s="13"/>
      <c r="D18" s="10" t="s">
        <v>136</v>
      </c>
      <c r="E18" s="10" t="s">
        <v>132</v>
      </c>
      <c r="F18" s="10" t="s">
        <v>136</v>
      </c>
      <c r="G18" s="10" t="s">
        <v>71</v>
      </c>
      <c r="H18" s="10" t="s">
        <v>71</v>
      </c>
      <c r="I18" s="17">
        <v>46179.0</v>
      </c>
      <c r="J18" s="17">
        <v>46221.0</v>
      </c>
      <c r="K18" s="14">
        <v>1880952.38</v>
      </c>
      <c r="L18" s="14">
        <v>79000.0</v>
      </c>
      <c r="M18" s="15"/>
      <c r="N18" s="14">
        <v>14.0</v>
      </c>
    </row>
    <row r="19">
      <c r="A19" s="10" t="s">
        <v>17</v>
      </c>
      <c r="B19" s="16" t="s">
        <v>135</v>
      </c>
      <c r="C19" s="13"/>
      <c r="D19" s="10" t="s">
        <v>136</v>
      </c>
      <c r="E19" s="10" t="s">
        <v>133</v>
      </c>
      <c r="F19" s="10" t="s">
        <v>136</v>
      </c>
      <c r="G19" s="10" t="s">
        <v>134</v>
      </c>
      <c r="H19" s="10" t="s">
        <v>134</v>
      </c>
      <c r="I19" s="17">
        <v>46179.0</v>
      </c>
      <c r="J19" s="17">
        <v>46221.0</v>
      </c>
      <c r="K19" s="14">
        <v>428571.43</v>
      </c>
      <c r="L19" s="14">
        <v>60000.0</v>
      </c>
      <c r="M19" s="15"/>
      <c r="N19" s="14">
        <v>0.14</v>
      </c>
    </row>
    <row r="20">
      <c r="A20" s="10" t="s">
        <v>17</v>
      </c>
      <c r="B20" s="16" t="s">
        <v>135</v>
      </c>
      <c r="C20" s="13"/>
      <c r="D20" s="10" t="s">
        <v>136</v>
      </c>
      <c r="E20" s="10" t="s">
        <v>137</v>
      </c>
      <c r="F20" s="10" t="s">
        <v>136</v>
      </c>
      <c r="G20" s="10" t="s">
        <v>138</v>
      </c>
      <c r="H20" s="10" t="s">
        <v>138</v>
      </c>
      <c r="I20" s="17">
        <v>46179.0</v>
      </c>
      <c r="J20" s="17">
        <v>46221.0</v>
      </c>
      <c r="K20" s="14">
        <v>840000.0</v>
      </c>
      <c r="L20" s="14">
        <v>84000.0</v>
      </c>
      <c r="M20" s="15"/>
      <c r="N20" s="14">
        <v>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